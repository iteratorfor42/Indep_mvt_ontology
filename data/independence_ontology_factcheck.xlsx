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실관계 목록" sheetId="1" state="visible" r:id="rId1"/>
    <sheet name="요약" sheetId="2" state="visible" r:id="rId2"/>
  </sheets>
  <definedNames>
    <definedName name="_xlnm._FilterDatabase" localSheetId="0" hidden="1">'사실관계 목록'!$A$1:$H$49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2C3E66"/>
        <bgColor rgb="002C3E66"/>
      </patternFill>
    </fill>
    <fill>
      <patternFill patternType="solid">
        <fgColor rgb="00FCEEEA"/>
        <bgColor rgb="00FCEEEA"/>
      </patternFill>
    </fill>
    <fill>
      <patternFill patternType="solid">
        <fgColor rgb="00EAF2EA"/>
        <bgColor rgb="00EAF2EA"/>
      </patternFill>
    </fill>
  </fills>
  <borders count="2">
    <border>
      <left/>
      <right/>
      <top/>
      <bottom/>
      <diagonal/>
    </border>
    <border>
      <left style="thin">
        <color rgb="00C9BFA8"/>
      </left>
      <right style="thin">
        <color rgb="00C9BFA8"/>
      </right>
      <top style="thin">
        <color rgb="00C9BFA8"/>
      </top>
      <bottom style="thin">
        <color rgb="00C9BFA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8" customWidth="1" min="3" max="3"/>
    <col width="55" customWidth="1" min="4" max="4"/>
    <col width="28" customWidth="1" min="5" max="5"/>
    <col width="14" customWidth="1" min="6" max="6"/>
    <col width="20" customWidth="1" min="7" max="7"/>
    <col width="40" customWidth="1" min="8" max="8"/>
  </cols>
  <sheetData>
    <row r="1">
      <c r="A1" s="1" t="inlineStr">
        <is>
          <t>번호</t>
        </is>
      </c>
      <c r="B1" s="1" t="inlineStr">
        <is>
          <t>분류</t>
        </is>
      </c>
      <c r="C1" s="1" t="inlineStr">
        <is>
          <t>개체/사건명</t>
        </is>
      </c>
      <c r="D1" s="1" t="inlineStr">
        <is>
          <t>확인된 사실</t>
        </is>
      </c>
      <c r="E1" s="1" t="inlineStr">
        <is>
          <t>출처(1차 확인)</t>
        </is>
      </c>
      <c r="F1" s="1" t="inlineStr">
        <is>
          <t>확인방식</t>
        </is>
      </c>
      <c r="G1" s="1" t="inlineStr">
        <is>
          <t>재검증 필요 여부</t>
        </is>
      </c>
      <c r="H1" s="1" t="inlineStr">
        <is>
          <t>비고</t>
        </is>
      </c>
    </row>
    <row r="2">
      <c r="A2" s="2" t="inlineStr">
        <is>
          <t>1</t>
        </is>
      </c>
      <c r="B2" s="2" t="inlineStr">
        <is>
          <t>학교</t>
        </is>
      </c>
      <c r="C2" s="2" t="inlineStr">
        <is>
          <t>오산학교</t>
        </is>
      </c>
      <c r="D2" s="2" t="inlineStr">
        <is>
          <t>1907년 이승훈이 평안북도 정주에 설립. 신민회 결의에 따른 설립.</t>
        </is>
      </c>
      <c r="E2" s="2" t="inlineStr">
        <is>
          <t>한국민족문화대백과사전 / 우리역사넷</t>
        </is>
      </c>
      <c r="F2" s="2" t="inlineStr">
        <is>
          <t>웹검색 교차확인</t>
        </is>
      </c>
      <c r="G2" s="3" t="inlineStr">
        <is>
          <t>권장</t>
        </is>
      </c>
      <c r="H2" s="2" t="inlineStr">
        <is>
          <t>최초 팩트체크 시 확인됨</t>
        </is>
      </c>
    </row>
    <row r="3">
      <c r="A3" s="2" t="inlineStr">
        <is>
          <t>2</t>
        </is>
      </c>
      <c r="B3" s="2" t="inlineStr">
        <is>
          <t>학교</t>
        </is>
      </c>
      <c r="C3" s="2" t="inlineStr">
        <is>
          <t>대성학교</t>
        </is>
      </c>
      <c r="D3" s="2" t="inlineStr">
        <is>
          <t>안창호가 평양에 설립. 오산학교가 이를 모델로 삼음.</t>
        </is>
      </c>
      <c r="E3" s="2" t="inlineStr">
        <is>
          <t>한국민족문화대백과사전</t>
        </is>
      </c>
      <c r="F3" s="2" t="inlineStr">
        <is>
          <t>웹검색</t>
        </is>
      </c>
      <c r="G3" s="3" t="inlineStr">
        <is>
          <t>권장</t>
        </is>
      </c>
      <c r="H3" s="2" t="inlineStr">
        <is>
          <t>오산학교와 함께 확인</t>
        </is>
      </c>
    </row>
    <row r="4">
      <c r="A4" s="2" t="inlineStr">
        <is>
          <t>3</t>
        </is>
      </c>
      <c r="B4" s="2" t="inlineStr">
        <is>
          <t>학교</t>
        </is>
      </c>
      <c r="C4" s="2" t="inlineStr">
        <is>
          <t>숭실학교</t>
        </is>
      </c>
      <c r="D4" s="2" t="inlineStr">
        <is>
          <t>1897년 평양, 미국 북장로교 선교사 배위량(W.M.Baird) 설립. 105인사건·3.1운동의 중심지 역할.</t>
        </is>
      </c>
      <c r="E4" s="2" t="inlineStr">
        <is>
          <t>한국민족문화대백과사전 / 위키백과</t>
        </is>
      </c>
      <c r="F4" s="2" t="inlineStr">
        <is>
          <t>웹검색 교차확인</t>
        </is>
      </c>
      <c r="G4" s="3" t="inlineStr">
        <is>
          <t>권장</t>
        </is>
      </c>
      <c r="H4" s="2" t="inlineStr"/>
    </row>
    <row r="5">
      <c r="A5" s="2" t="inlineStr">
        <is>
          <t>4</t>
        </is>
      </c>
      <c r="B5" s="2" t="inlineStr">
        <is>
          <t>학교</t>
        </is>
      </c>
      <c r="C5" s="2" t="inlineStr">
        <is>
          <t>보성학교</t>
        </is>
      </c>
      <c r="D5" s="2" t="inlineStr">
        <is>
          <t>1905년 서울, 이용익 설립. 부속 인쇄소 보성사에서 3.1운동 독립선언서 인쇄. 현 고려대 전신.</t>
        </is>
      </c>
      <c r="E5" s="2" t="inlineStr">
        <is>
          <t>한국민족문화대백과사전</t>
        </is>
      </c>
      <c r="F5" s="2" t="inlineStr">
        <is>
          <t>웹검색</t>
        </is>
      </c>
      <c r="G5" s="3" t="inlineStr">
        <is>
          <t>권장</t>
        </is>
      </c>
      <c r="H5" s="2" t="inlineStr"/>
    </row>
    <row r="6">
      <c r="A6" s="2" t="inlineStr">
        <is>
          <t>5</t>
        </is>
      </c>
      <c r="B6" s="2" t="inlineStr">
        <is>
          <t>학교</t>
        </is>
      </c>
      <c r="C6" s="2" t="inlineStr">
        <is>
          <t>신흥무관학교</t>
        </is>
      </c>
      <c r="D6" s="2" t="inlineStr">
        <is>
          <t>1911년 서간도, 신민회 결의로 이회영·이시영·이동녕·이상룡 등이 설립한 군사학교. 1920년까지 약 3500명 졸업.</t>
        </is>
      </c>
      <c r="E6" s="2" t="inlineStr">
        <is>
          <t>우리역사넷 / 위키백과</t>
        </is>
      </c>
      <c r="F6" s="2" t="inlineStr">
        <is>
          <t>웹검색 교차확인</t>
        </is>
      </c>
      <c r="G6" s="3" t="inlineStr">
        <is>
          <t>권장</t>
        </is>
      </c>
      <c r="H6" s="2" t="inlineStr">
        <is>
          <t>계몽운동-무장투쟁을 잇는 핵심 노드로 지목됨</t>
        </is>
      </c>
    </row>
    <row r="7">
      <c r="A7" s="2" t="inlineStr">
        <is>
          <t>6</t>
        </is>
      </c>
      <c r="B7" s="2" t="inlineStr">
        <is>
          <t>단체</t>
        </is>
      </c>
      <c r="C7" s="2" t="inlineStr">
        <is>
          <t>신민회</t>
        </is>
      </c>
      <c r="D7" s="2" t="inlineStr">
        <is>
          <t>1907년 조직된 비밀결사. 안창호·이승훈·양기탁 등이 중심. 애국계몽운동 및 국외 무관학교 설립 결의.</t>
        </is>
      </c>
      <c r="E7" s="2" t="inlineStr">
        <is>
          <t>한국민족문화대백과사전</t>
        </is>
      </c>
      <c r="F7" s="2" t="inlineStr">
        <is>
          <t>웹검색</t>
        </is>
      </c>
      <c r="G7" s="3" t="inlineStr">
        <is>
          <t>권장</t>
        </is>
      </c>
      <c r="H7" s="2" t="inlineStr"/>
    </row>
    <row r="8">
      <c r="A8" s="2" t="inlineStr">
        <is>
          <t>7</t>
        </is>
      </c>
      <c r="B8" s="2" t="inlineStr">
        <is>
          <t>단체</t>
        </is>
      </c>
      <c r="C8" s="2" t="inlineStr">
        <is>
          <t>대한독립군</t>
        </is>
      </c>
      <c r="D8" s="2" t="inlineStr">
        <is>
          <t>1919년 3.1운동 직후 홍범도가 창설. 1920년 봉오동전투 승리.</t>
        </is>
      </c>
      <c r="E8" s="2" t="inlineStr">
        <is>
          <t>위키백과 / 한국민족문화대백과사전</t>
        </is>
      </c>
      <c r="F8" s="2" t="inlineStr">
        <is>
          <t>웹검색</t>
        </is>
      </c>
      <c r="G8" s="3" t="inlineStr">
        <is>
          <t>권장</t>
        </is>
      </c>
      <c r="H8" s="2" t="inlineStr">
        <is>
          <t>신민회 계열과 별개 계통(무장투쟁)으로 명시</t>
        </is>
      </c>
    </row>
    <row r="9">
      <c r="A9" s="2" t="inlineStr">
        <is>
          <t>8</t>
        </is>
      </c>
      <c r="B9" s="2" t="inlineStr">
        <is>
          <t>단체</t>
        </is>
      </c>
      <c r="C9" s="2" t="inlineStr">
        <is>
          <t>북로군정서</t>
        </is>
      </c>
      <c r="D9" s="2" t="inlineStr">
        <is>
          <t>1919년 8월 서일·김좌진 등이 조직. 자체 사관연성소 운영.</t>
        </is>
      </c>
      <c r="E9" s="2" t="inlineStr">
        <is>
          <t>위키백과</t>
        </is>
      </c>
      <c r="F9" s="2" t="inlineStr">
        <is>
          <t>웹검색</t>
        </is>
      </c>
      <c r="G9" s="3" t="inlineStr">
        <is>
          <t>권장</t>
        </is>
      </c>
      <c r="H9" s="2" t="inlineStr"/>
    </row>
    <row r="10">
      <c r="A10" s="2" t="inlineStr">
        <is>
          <t>9</t>
        </is>
      </c>
      <c r="B10" s="2" t="inlineStr">
        <is>
          <t>단체</t>
        </is>
      </c>
      <c r="C10" s="2" t="inlineStr">
        <is>
          <t>대한민국임시정부</t>
        </is>
      </c>
      <c r="D10" s="2" t="inlineStr">
        <is>
          <t>1919년 4월 11일 상해 수립. 이승만 초대 대통령, 이동휘 국무총리.</t>
        </is>
      </c>
      <c r="E10" s="2" t="inlineStr">
        <is>
          <t>한국민족문화대백과사전</t>
        </is>
      </c>
      <c r="F10" s="2" t="inlineStr">
        <is>
          <t>웹검색</t>
        </is>
      </c>
      <c r="G10" s="3" t="inlineStr">
        <is>
          <t>권장</t>
        </is>
      </c>
      <c r="H10" s="2" t="inlineStr"/>
    </row>
    <row r="11">
      <c r="A11" s="2" t="inlineStr">
        <is>
          <t>10</t>
        </is>
      </c>
      <c r="B11" s="2" t="inlineStr">
        <is>
          <t>단체</t>
        </is>
      </c>
      <c r="C11" s="2" t="inlineStr">
        <is>
          <t>조선물산장려회</t>
        </is>
      </c>
      <c r="D11" s="2" t="inlineStr">
        <is>
          <t>1920년 8월 23일 조만식 등이 평양에서 창립.</t>
        </is>
      </c>
      <c r="E11" s="2" t="inlineStr">
        <is>
          <t>한국민족문화대백과사전</t>
        </is>
      </c>
      <c r="F11" s="2" t="inlineStr">
        <is>
          <t>웹검색</t>
        </is>
      </c>
      <c r="G11" s="3" t="inlineStr">
        <is>
          <t>권장</t>
        </is>
      </c>
      <c r="H11" s="2" t="inlineStr"/>
    </row>
    <row r="12">
      <c r="A12" s="2" t="inlineStr">
        <is>
          <t>11</t>
        </is>
      </c>
      <c r="B12" s="2" t="inlineStr">
        <is>
          <t>단체</t>
        </is>
      </c>
      <c r="C12" s="2" t="inlineStr">
        <is>
          <t>신간회</t>
        </is>
      </c>
      <c r="D12" s="2" t="inlineStr">
        <is>
          <t>1927년 결성. 민족주의·사회주의 협동전선. 조만식 평양지회장.</t>
        </is>
      </c>
      <c r="E12" s="2" t="inlineStr">
        <is>
          <t>한국민족문화대백과사전</t>
        </is>
      </c>
      <c r="F12" s="2" t="inlineStr">
        <is>
          <t>웹검색</t>
        </is>
      </c>
      <c r="G12" s="3" t="inlineStr">
        <is>
          <t>권장</t>
        </is>
      </c>
      <c r="H12" s="2" t="inlineStr"/>
    </row>
    <row r="13">
      <c r="A13" s="2" t="inlineStr">
        <is>
          <t>12</t>
        </is>
      </c>
      <c r="B13" s="2" t="inlineStr">
        <is>
          <t>사건</t>
        </is>
      </c>
      <c r="C13" s="2" t="inlineStr">
        <is>
          <t>삼일운동</t>
        </is>
      </c>
      <c r="D13" s="2" t="inlineStr">
        <is>
          <t>1919년 3월 1일 전민족적 독립운동. 민족대표 33인.</t>
        </is>
      </c>
      <c r="E13" s="2" t="inlineStr">
        <is>
          <t>한국민족문화대백과사전</t>
        </is>
      </c>
      <c r="F13" s="2" t="inlineStr">
        <is>
          <t>웹검색</t>
        </is>
      </c>
      <c r="G13" s="2" t="inlineStr">
        <is>
          <t>불필요(널리 알려진 사실)</t>
        </is>
      </c>
      <c r="H13" s="2" t="inlineStr"/>
    </row>
    <row r="14">
      <c r="A14" s="2" t="inlineStr">
        <is>
          <t>13</t>
        </is>
      </c>
      <c r="B14" s="2" t="inlineStr">
        <is>
          <t>사건</t>
        </is>
      </c>
      <c r="C14" s="2" t="inlineStr">
        <is>
          <t>안악사건</t>
        </is>
      </c>
      <c r="D14" s="2" t="inlineStr">
        <is>
          <t>1910년 안명근이 서간도 무관학교 자금 모집 중 황해도 신천에서 체포된 사건.</t>
        </is>
      </c>
      <c r="E14" s="2" t="inlineStr">
        <is>
          <t>우리역사넷</t>
        </is>
      </c>
      <c r="F14" s="2" t="inlineStr">
        <is>
          <t>웹검색</t>
        </is>
      </c>
      <c r="G14" s="3" t="inlineStr">
        <is>
          <t>권장</t>
        </is>
      </c>
      <c r="H14" s="2" t="inlineStr">
        <is>
          <t>105인사건과의 인과관계 확인 필요</t>
        </is>
      </c>
    </row>
    <row r="15">
      <c r="A15" s="2" t="inlineStr">
        <is>
          <t>14</t>
        </is>
      </c>
      <c r="B15" s="2" t="inlineStr">
        <is>
          <t>사건</t>
        </is>
      </c>
      <c r="C15" s="2" t="inlineStr">
        <is>
          <t>105인사건</t>
        </is>
      </c>
      <c r="D15" s="2" t="inlineStr">
        <is>
          <t>1911년, 일제가 안악사건을 확대·조작해 신민회 인사 105인을 기소.</t>
        </is>
      </c>
      <c r="E15" s="2" t="inlineStr">
        <is>
          <t>우리역사넷 / 한국민족문화대백과사전</t>
        </is>
      </c>
      <c r="F15" s="2" t="inlineStr">
        <is>
          <t>웹검색 교차확인</t>
        </is>
      </c>
      <c r="G15" s="3" t="inlineStr">
        <is>
          <t>권장</t>
        </is>
      </c>
      <c r="H15" s="2" t="inlineStr">
        <is>
          <t>안악사건→105인사건 인과관계는 다수 출처에서 일치</t>
        </is>
      </c>
    </row>
    <row r="16">
      <c r="A16" s="2" t="inlineStr">
        <is>
          <t>15</t>
        </is>
      </c>
      <c r="B16" s="2" t="inlineStr">
        <is>
          <t>사건</t>
        </is>
      </c>
      <c r="C16" s="2" t="inlineStr">
        <is>
          <t>봉오동전투</t>
        </is>
      </c>
      <c r="D16" s="2" t="inlineStr">
        <is>
          <t>1920년 홍범도의 대한독립군이 일본군을 대파.</t>
        </is>
      </c>
      <c r="E16" s="2" t="inlineStr">
        <is>
          <t>한국민족문화대백과사전</t>
        </is>
      </c>
      <c r="F16" s="2" t="inlineStr">
        <is>
          <t>웹검색</t>
        </is>
      </c>
      <c r="G16" s="2" t="inlineStr">
        <is>
          <t>불필요(널리 알려진 사실)</t>
        </is>
      </c>
      <c r="H16" s="2" t="inlineStr"/>
    </row>
    <row r="17">
      <c r="A17" s="2" t="inlineStr">
        <is>
          <t>16</t>
        </is>
      </c>
      <c r="B17" s="2" t="inlineStr">
        <is>
          <t>사건</t>
        </is>
      </c>
      <c r="C17" s="2" t="inlineStr">
        <is>
          <t>청산리전투</t>
        </is>
      </c>
      <c r="D17" s="2" t="inlineStr">
        <is>
          <t>1920년 김좌진의 북로군정서와 홍범도의 대한독립군 연합 승리.</t>
        </is>
      </c>
      <c r="E17" s="2" t="inlineStr">
        <is>
          <t>한국민족문화대백과사전</t>
        </is>
      </c>
      <c r="F17" s="2" t="inlineStr">
        <is>
          <t>웹검색</t>
        </is>
      </c>
      <c r="G17" s="2" t="inlineStr">
        <is>
          <t>불필요(널리 알려진 사실)</t>
        </is>
      </c>
      <c r="H17" s="2" t="inlineStr"/>
    </row>
    <row r="18">
      <c r="A18" s="2" t="inlineStr">
        <is>
          <t>17</t>
        </is>
      </c>
      <c r="B18" s="2" t="inlineStr">
        <is>
          <t>사건</t>
        </is>
      </c>
      <c r="C18" s="2" t="inlineStr">
        <is>
          <t>물산장려운동</t>
        </is>
      </c>
      <c r="D18" s="2" t="inlineStr">
        <is>
          <t>1920년 평양에서 시작된 국산품 애용 운동.</t>
        </is>
      </c>
      <c r="E18" s="2" t="inlineStr">
        <is>
          <t>한국민족문화대백과사전</t>
        </is>
      </c>
      <c r="F18" s="2" t="inlineStr">
        <is>
          <t>웹검색</t>
        </is>
      </c>
      <c r="G18" s="2" t="inlineStr">
        <is>
          <t>불필요</t>
        </is>
      </c>
      <c r="H18" s="2" t="inlineStr"/>
    </row>
    <row r="19">
      <c r="A19" s="2" t="inlineStr">
        <is>
          <t>18</t>
        </is>
      </c>
      <c r="B19" s="2" t="inlineStr">
        <is>
          <t>인물</t>
        </is>
      </c>
      <c r="C19" s="2" t="inlineStr">
        <is>
          <t>이승훈</t>
        </is>
      </c>
      <c r="D19" s="2" t="inlineStr">
        <is>
          <t>1864~1930. 오산학교 설립자, 신민회 회원, 105인사건 연루, 3.1운동 민족대표 33인.</t>
        </is>
      </c>
      <c r="E19" s="2" t="inlineStr">
        <is>
          <t>한국민족문화대백과사전</t>
        </is>
      </c>
      <c r="F19" s="2" t="inlineStr">
        <is>
          <t>웹검색</t>
        </is>
      </c>
      <c r="G19" s="3" t="inlineStr">
        <is>
          <t>권장</t>
        </is>
      </c>
      <c r="H19" s="2" t="inlineStr">
        <is>
          <t>생몰년 재확인 권장</t>
        </is>
      </c>
    </row>
    <row r="20">
      <c r="A20" s="2" t="inlineStr">
        <is>
          <t>19</t>
        </is>
      </c>
      <c r="B20" s="2" t="inlineStr">
        <is>
          <t>인물</t>
        </is>
      </c>
      <c r="C20" s="2" t="inlineStr">
        <is>
          <t>안창호</t>
        </is>
      </c>
      <c r="D20" s="2" t="inlineStr">
        <is>
          <t>대성학교 설립자, 신민회 주도, 임시정부 국무원 임시사료편찬회 총재.</t>
        </is>
      </c>
      <c r="E20" s="2" t="inlineStr">
        <is>
          <t>한국민족문화대백과사전</t>
        </is>
      </c>
      <c r="F20" s="2" t="inlineStr">
        <is>
          <t>웹검색</t>
        </is>
      </c>
      <c r="G20" s="3" t="inlineStr">
        <is>
          <t>권장</t>
        </is>
      </c>
      <c r="H20" s="2" t="inlineStr"/>
    </row>
    <row r="21">
      <c r="A21" s="2" t="inlineStr">
        <is>
          <t>20</t>
        </is>
      </c>
      <c r="B21" s="2" t="inlineStr">
        <is>
          <t>인물</t>
        </is>
      </c>
      <c r="C21" s="2" t="inlineStr">
        <is>
          <t>조만식</t>
        </is>
      </c>
      <c r="D21" s="2" t="inlineStr">
        <is>
          <t>오산학교 교사·교장 역임. 3.1운동 가담 후 옥고. 조선물산장려회·신간회 주도.</t>
        </is>
      </c>
      <c r="E21" s="2" t="inlineStr">
        <is>
          <t>한국민족문화대백과사전</t>
        </is>
      </c>
      <c r="F21" s="2" t="inlineStr">
        <is>
          <t>웹검색</t>
        </is>
      </c>
      <c r="G21" s="3" t="inlineStr">
        <is>
          <t>권장</t>
        </is>
      </c>
      <c r="H21" s="2" t="inlineStr"/>
    </row>
    <row r="22">
      <c r="A22" s="2" t="inlineStr">
        <is>
          <t>21</t>
        </is>
      </c>
      <c r="B22" s="2" t="inlineStr">
        <is>
          <t>인물</t>
        </is>
      </c>
      <c r="C22" s="2" t="inlineStr">
        <is>
          <t>유영모</t>
        </is>
      </c>
      <c r="D22" s="2" t="inlineStr">
        <is>
          <t>오산학교 교장 역임. 함석헌을 가르침.</t>
        </is>
      </c>
      <c r="E22" s="2" t="inlineStr">
        <is>
          <t>위키백과</t>
        </is>
      </c>
      <c r="F22" s="2" t="inlineStr">
        <is>
          <t>웹검색</t>
        </is>
      </c>
      <c r="G22" s="3" t="inlineStr">
        <is>
          <t>권장</t>
        </is>
      </c>
      <c r="H22" s="2" t="inlineStr">
        <is>
          <t>1차 확인만 진행, 추가 교차확인 권장</t>
        </is>
      </c>
    </row>
    <row r="23">
      <c r="A23" s="2" t="inlineStr">
        <is>
          <t>22</t>
        </is>
      </c>
      <c r="B23" s="2" t="inlineStr">
        <is>
          <t>인물</t>
        </is>
      </c>
      <c r="C23" s="2" t="inlineStr">
        <is>
          <t>함석헌</t>
        </is>
      </c>
      <c r="D23" s="2" t="inlineStr">
        <is>
          <t>오산학교 졸업, 유영모에게 사사.</t>
        </is>
      </c>
      <c r="E23" s="2" t="inlineStr">
        <is>
          <t>위키백과</t>
        </is>
      </c>
      <c r="F23" s="2" t="inlineStr">
        <is>
          <t>웹검색</t>
        </is>
      </c>
      <c r="G23" s="3" t="inlineStr">
        <is>
          <t>권장</t>
        </is>
      </c>
      <c r="H23" s="2" t="inlineStr"/>
    </row>
    <row r="24">
      <c r="A24" s="2" t="inlineStr">
        <is>
          <t>23</t>
        </is>
      </c>
      <c r="B24" s="2" t="inlineStr">
        <is>
          <t>인물</t>
        </is>
      </c>
      <c r="C24" s="2" t="inlineStr">
        <is>
          <t>양기탁</t>
        </is>
      </c>
      <c r="D24" s="2" t="inlineStr">
        <is>
          <t>신민회 회원.</t>
        </is>
      </c>
      <c r="E24" s="2" t="inlineStr">
        <is>
          <t>한국민족문화대백과사전</t>
        </is>
      </c>
      <c r="F24" s="2" t="inlineStr">
        <is>
          <t>웹검색</t>
        </is>
      </c>
      <c r="G24" s="2" t="inlineStr">
        <is>
          <t>불필요</t>
        </is>
      </c>
      <c r="H24" s="2" t="inlineStr"/>
    </row>
    <row r="25">
      <c r="A25" s="2" t="inlineStr">
        <is>
          <t>24</t>
        </is>
      </c>
      <c r="B25" s="2" t="inlineStr">
        <is>
          <t>인물</t>
        </is>
      </c>
      <c r="C25" s="2" t="inlineStr">
        <is>
          <t>안명근</t>
        </is>
      </c>
      <c r="D25" s="2" t="inlineStr">
        <is>
          <t>안중근의 사촌동생. 안악사건의 주역.</t>
        </is>
      </c>
      <c r="E25" s="2" t="inlineStr">
        <is>
          <t>우리역사넷</t>
        </is>
      </c>
      <c r="F25" s="2" t="inlineStr">
        <is>
          <t>웹검색</t>
        </is>
      </c>
      <c r="G25" s="3" t="inlineStr">
        <is>
          <t>권장</t>
        </is>
      </c>
      <c r="H25" s="2" t="inlineStr"/>
    </row>
    <row r="26">
      <c r="A26" s="2" t="inlineStr">
        <is>
          <t>25</t>
        </is>
      </c>
      <c r="B26" s="2" t="inlineStr">
        <is>
          <t>인물</t>
        </is>
      </c>
      <c r="C26" s="2" t="inlineStr">
        <is>
          <t>홍범도</t>
        </is>
      </c>
      <c r="D26" s="2" t="inlineStr">
        <is>
          <t>1868~1943. 대한독립군 창설, 봉오동·청산리전투 참전.</t>
        </is>
      </c>
      <c r="E26" s="2" t="inlineStr">
        <is>
          <t>한국민족문화대백과사전</t>
        </is>
      </c>
      <c r="F26" s="2" t="inlineStr">
        <is>
          <t>웹검색</t>
        </is>
      </c>
      <c r="G26" s="2" t="inlineStr">
        <is>
          <t>불필요(널리 알려진 사실)</t>
        </is>
      </c>
      <c r="H26" s="2" t="inlineStr"/>
    </row>
    <row r="27">
      <c r="A27" s="2" t="inlineStr">
        <is>
          <t>26</t>
        </is>
      </c>
      <c r="B27" s="2" t="inlineStr">
        <is>
          <t>인물</t>
        </is>
      </c>
      <c r="C27" s="2" t="inlineStr">
        <is>
          <t>배위량(W.M.Baird)</t>
        </is>
      </c>
      <c r="D27" s="2" t="inlineStr">
        <is>
          <t>미국 북장로교 선교사. 숭실학교 설립자.</t>
        </is>
      </c>
      <c r="E27" s="2" t="inlineStr">
        <is>
          <t>위키백과</t>
        </is>
      </c>
      <c r="F27" s="2" t="inlineStr">
        <is>
          <t>웹검색</t>
        </is>
      </c>
      <c r="G27" s="3" t="inlineStr">
        <is>
          <t>권장</t>
        </is>
      </c>
      <c r="H27" s="2" t="inlineStr">
        <is>
          <t>영문 표기/생몰년 재확인 권장</t>
        </is>
      </c>
    </row>
    <row r="28">
      <c r="A28" s="2" t="inlineStr">
        <is>
          <t>27</t>
        </is>
      </c>
      <c r="B28" s="2" t="inlineStr">
        <is>
          <t>인물</t>
        </is>
      </c>
      <c r="C28" s="2" t="inlineStr">
        <is>
          <t>최광옥</t>
        </is>
      </c>
      <c r="D28" s="2" t="inlineStr">
        <is>
          <t>숭실학교 1회 졸업생이자 신민회 평안남도 조직 지도자.</t>
        </is>
      </c>
      <c r="E28" s="2" t="inlineStr">
        <is>
          <t>한국민족문화대백과사전</t>
        </is>
      </c>
      <c r="F28" s="2" t="inlineStr">
        <is>
          <t>웹검색</t>
        </is>
      </c>
      <c r="G28" s="3" t="inlineStr">
        <is>
          <t>권장</t>
        </is>
      </c>
      <c r="H28" s="2" t="inlineStr">
        <is>
          <t>학교-단체 연결고리로 특히 중요, 재검증 우선순위 높음</t>
        </is>
      </c>
    </row>
    <row r="29">
      <c r="A29" s="2" t="inlineStr">
        <is>
          <t>28</t>
        </is>
      </c>
      <c r="B29" s="2" t="inlineStr">
        <is>
          <t>인물</t>
        </is>
      </c>
      <c r="C29" s="2" t="inlineStr">
        <is>
          <t>차이석</t>
        </is>
      </c>
      <c r="D29" s="2" t="inlineStr">
        <is>
          <t>숭실학교 1회 졸업생. 대한민국 임시정부 요인. 1933년 임시정부 재건 참여.</t>
        </is>
      </c>
      <c r="E29" s="2" t="inlineStr">
        <is>
          <t>한국민족문화대백과사전</t>
        </is>
      </c>
      <c r="F29" s="2" t="inlineStr">
        <is>
          <t>웹검색</t>
        </is>
      </c>
      <c r="G29" s="3" t="inlineStr">
        <is>
          <t>권장</t>
        </is>
      </c>
      <c r="H29" s="2" t="inlineStr"/>
    </row>
    <row r="30">
      <c r="A30" s="2" t="inlineStr">
        <is>
          <t>29</t>
        </is>
      </c>
      <c r="B30" s="2" t="inlineStr">
        <is>
          <t>인물</t>
        </is>
      </c>
      <c r="C30" s="2" t="inlineStr">
        <is>
          <t>이용익</t>
        </is>
      </c>
      <c r="D30" s="2" t="inlineStr">
        <is>
          <t>보성학교 설립자. 1907년 사망.</t>
        </is>
      </c>
      <c r="E30" s="2" t="inlineStr">
        <is>
          <t>한국민족문화대백과사전</t>
        </is>
      </c>
      <c r="F30" s="2" t="inlineStr">
        <is>
          <t>웹검색</t>
        </is>
      </c>
      <c r="G30" s="3" t="inlineStr">
        <is>
          <t>권장</t>
        </is>
      </c>
      <c r="H30" s="2" t="inlineStr"/>
    </row>
    <row r="31">
      <c r="A31" s="2" t="inlineStr">
        <is>
          <t>30</t>
        </is>
      </c>
      <c r="B31" s="2" t="inlineStr">
        <is>
          <t>인물</t>
        </is>
      </c>
      <c r="C31" s="2" t="inlineStr">
        <is>
          <t>이종호</t>
        </is>
      </c>
      <c r="D31" s="2" t="inlineStr">
        <is>
          <t>이용익의 손자. 보성학교 경영, 신민회 가담, 안중근 의거 배후 인물로 지목되어 망명.</t>
        </is>
      </c>
      <c r="E31" s="2" t="inlineStr">
        <is>
          <t>위키백과</t>
        </is>
      </c>
      <c r="F31" s="2" t="inlineStr">
        <is>
          <t>웹검색</t>
        </is>
      </c>
      <c r="G31" s="3" t="inlineStr">
        <is>
          <t>권장</t>
        </is>
      </c>
      <c r="H31" s="2" t="inlineStr">
        <is>
          <t>안중근 의거 연루 부분은 특히 재검증 권장</t>
        </is>
      </c>
    </row>
    <row r="32">
      <c r="A32" s="2" t="inlineStr">
        <is>
          <t>31</t>
        </is>
      </c>
      <c r="B32" s="2" t="inlineStr">
        <is>
          <t>인물</t>
        </is>
      </c>
      <c r="C32" s="2" t="inlineStr">
        <is>
          <t>손병희</t>
        </is>
      </c>
      <c r="D32" s="2" t="inlineStr">
        <is>
          <t>천도교 지도자. 민족대표 33인 핵심. 보성학교 인수 주도.</t>
        </is>
      </c>
      <c r="E32" s="2" t="inlineStr">
        <is>
          <t>한국민족문화대백과사전</t>
        </is>
      </c>
      <c r="F32" s="2" t="inlineStr">
        <is>
          <t>웹검색</t>
        </is>
      </c>
      <c r="G32" s="2" t="inlineStr">
        <is>
          <t>불필요(널리 알려진 사실)</t>
        </is>
      </c>
      <c r="H32" s="2" t="inlineStr"/>
    </row>
    <row r="33">
      <c r="A33" s="2" t="inlineStr">
        <is>
          <t>32</t>
        </is>
      </c>
      <c r="B33" s="2" t="inlineStr">
        <is>
          <t>인물</t>
        </is>
      </c>
      <c r="C33" s="2" t="inlineStr">
        <is>
          <t>이회영</t>
        </is>
      </c>
      <c r="D33" s="2" t="inlineStr">
        <is>
          <t>신민회 발족·헤이그특사 파견 주도. 신흥무관학교 설립을 이끔.</t>
        </is>
      </c>
      <c r="E33" s="2" t="inlineStr">
        <is>
          <t>위키백과 / 우리역사넷</t>
        </is>
      </c>
      <c r="F33" s="2" t="inlineStr">
        <is>
          <t>웹검색 교차확인</t>
        </is>
      </c>
      <c r="G33" s="3" t="inlineStr">
        <is>
          <t>권장</t>
        </is>
      </c>
      <c r="H33" s="2" t="inlineStr"/>
    </row>
    <row r="34">
      <c r="A34" s="2" t="inlineStr">
        <is>
          <t>33</t>
        </is>
      </c>
      <c r="B34" s="2" t="inlineStr">
        <is>
          <t>인물</t>
        </is>
      </c>
      <c r="C34" s="2" t="inlineStr">
        <is>
          <t>이시영</t>
        </is>
      </c>
      <c r="D34" s="2" t="inlineStr">
        <is>
          <t>신흥무관학교 설립 참여. 이후 임시정부 참여, 초대 대한민국 부통령.</t>
        </is>
      </c>
      <c r="E34" s="2" t="inlineStr">
        <is>
          <t>한국민족문화대백과사전</t>
        </is>
      </c>
      <c r="F34" s="2" t="inlineStr">
        <is>
          <t>웹검색</t>
        </is>
      </c>
      <c r="G34" s="2" t="inlineStr">
        <is>
          <t>불필요(널리 알려진 사실)</t>
        </is>
      </c>
      <c r="H34" s="2" t="inlineStr"/>
    </row>
    <row r="35">
      <c r="A35" s="2" t="inlineStr">
        <is>
          <t>34</t>
        </is>
      </c>
      <c r="B35" s="2" t="inlineStr">
        <is>
          <t>인물</t>
        </is>
      </c>
      <c r="C35" s="2" t="inlineStr">
        <is>
          <t>이동녕</t>
        </is>
      </c>
      <c r="D35" s="2" t="inlineStr">
        <is>
          <t>신흥무관학교 설립 참여. 임시정부 국무총리·대통령직무대리 역임.</t>
        </is>
      </c>
      <c r="E35" s="2" t="inlineStr">
        <is>
          <t>한국민족문화대백과사전</t>
        </is>
      </c>
      <c r="F35" s="2" t="inlineStr">
        <is>
          <t>웹검색</t>
        </is>
      </c>
      <c r="G35" s="3" t="inlineStr">
        <is>
          <t>권장</t>
        </is>
      </c>
      <c r="H35" s="2" t="inlineStr"/>
    </row>
    <row r="36">
      <c r="A36" s="2" t="inlineStr">
        <is>
          <t>35</t>
        </is>
      </c>
      <c r="B36" s="2" t="inlineStr">
        <is>
          <t>인물</t>
        </is>
      </c>
      <c r="C36" s="2" t="inlineStr">
        <is>
          <t>이상룡</t>
        </is>
      </c>
      <c r="D36" s="2" t="inlineStr">
        <is>
          <t>안동 유림 출신. 신흥무관학교 설립 참여. 양기탁 등의 권유로 만주 이주.</t>
        </is>
      </c>
      <c r="E36" s="2" t="inlineStr">
        <is>
          <t>한국민족문화대백과사전</t>
        </is>
      </c>
      <c r="F36" s="2" t="inlineStr">
        <is>
          <t>웹검색</t>
        </is>
      </c>
      <c r="G36" s="3" t="inlineStr">
        <is>
          <t>권장</t>
        </is>
      </c>
      <c r="H36" s="2" t="inlineStr"/>
    </row>
    <row r="37">
      <c r="A37" s="2" t="inlineStr">
        <is>
          <t>36</t>
        </is>
      </c>
      <c r="B37" s="2" t="inlineStr">
        <is>
          <t>인물</t>
        </is>
      </c>
      <c r="C37" s="2" t="inlineStr">
        <is>
          <t>지청천</t>
        </is>
      </c>
      <c r="D37" s="2" t="inlineStr">
        <is>
          <t>일본육사 출신 장교였다가 망명, 신흥무관학교 교관 합류. 이후 광복군 총사령관.</t>
        </is>
      </c>
      <c r="E37" s="2" t="inlineStr">
        <is>
          <t>위키백과</t>
        </is>
      </c>
      <c r="F37" s="2" t="inlineStr">
        <is>
          <t>웹검색</t>
        </is>
      </c>
      <c r="G37" s="3" t="inlineStr">
        <is>
          <t>권장</t>
        </is>
      </c>
      <c r="H37" s="2" t="inlineStr"/>
    </row>
    <row r="38">
      <c r="A38" s="2" t="inlineStr">
        <is>
          <t>37</t>
        </is>
      </c>
      <c r="B38" s="2" t="inlineStr">
        <is>
          <t>인물</t>
        </is>
      </c>
      <c r="C38" s="2" t="inlineStr">
        <is>
          <t>이종일</t>
        </is>
      </c>
      <c r="D38" s="2" t="inlineStr">
        <is>
          <t>보성사 사장. 독립선언서 2만1천매 인쇄.</t>
        </is>
      </c>
      <c r="E38" s="2" t="inlineStr">
        <is>
          <t>한국민족문화대백과사전</t>
        </is>
      </c>
      <c r="F38" s="2" t="inlineStr">
        <is>
          <t>웹검색</t>
        </is>
      </c>
      <c r="G38" s="3" t="inlineStr">
        <is>
          <t>권장</t>
        </is>
      </c>
      <c r="H38" s="2" t="inlineStr">
        <is>
          <t>인쇄 매수(2만1천매) 재확인 권장</t>
        </is>
      </c>
    </row>
    <row r="39">
      <c r="A39" s="2" t="inlineStr">
        <is>
          <t>38</t>
        </is>
      </c>
      <c r="B39" s="2" t="inlineStr">
        <is>
          <t>인물</t>
        </is>
      </c>
      <c r="C39" s="2" t="inlineStr">
        <is>
          <t>한용운</t>
        </is>
      </c>
      <c r="D39" s="2" t="inlineStr">
        <is>
          <t>민족대표 33인, 불교계 대표. 시인.</t>
        </is>
      </c>
      <c r="E39" s="2" t="inlineStr">
        <is>
          <t>한국민족문화대백과사전</t>
        </is>
      </c>
      <c r="F39" s="2" t="inlineStr">
        <is>
          <t>웹검색</t>
        </is>
      </c>
      <c r="G39" s="2" t="inlineStr">
        <is>
          <t>불필요(널리 알려진 사실)</t>
        </is>
      </c>
      <c r="H39" s="2" t="inlineStr"/>
    </row>
    <row r="40">
      <c r="A40" s="2" t="inlineStr">
        <is>
          <t>39</t>
        </is>
      </c>
      <c r="B40" s="2" t="inlineStr">
        <is>
          <t>인물</t>
        </is>
      </c>
      <c r="C40" s="2" t="inlineStr">
        <is>
          <t>오세창</t>
        </is>
      </c>
      <c r="D40" s="2" t="inlineStr">
        <is>
          <t>민족대표 33인, 천도교 대표. 독립선언서 원고를 보성사로 전달.</t>
        </is>
      </c>
      <c r="E40" s="2" t="inlineStr">
        <is>
          <t>한국민족문화대백과사전</t>
        </is>
      </c>
      <c r="F40" s="2" t="inlineStr">
        <is>
          <t>웹검색</t>
        </is>
      </c>
      <c r="G40" s="3" t="inlineStr">
        <is>
          <t>권장</t>
        </is>
      </c>
      <c r="H40" s="2" t="inlineStr"/>
    </row>
    <row r="41">
      <c r="A41" s="2" t="inlineStr">
        <is>
          <t>40</t>
        </is>
      </c>
      <c r="B41" s="2" t="inlineStr">
        <is>
          <t>인물</t>
        </is>
      </c>
      <c r="C41" s="2" t="inlineStr">
        <is>
          <t>김좌진</t>
        </is>
      </c>
      <c r="D41" s="2" t="inlineStr">
        <is>
          <t>1889~1930. 신민회 등 계몽운동 이력 후 북로군정서 이끌고 청산리대첩 지휘.</t>
        </is>
      </c>
      <c r="E41" s="2" t="inlineStr">
        <is>
          <t>위키백과 / 한국민족문화대백과사전</t>
        </is>
      </c>
      <c r="F41" s="2" t="inlineStr">
        <is>
          <t>웹검색 교차확인</t>
        </is>
      </c>
      <c r="G41" s="3" t="inlineStr">
        <is>
          <t>권장</t>
        </is>
      </c>
      <c r="H41" s="2" t="inlineStr">
        <is>
          <t>신민회 활동 이력 부분 재검증 우선순위 높음(계열을 잇는 핵심 근거)</t>
        </is>
      </c>
    </row>
    <row r="42">
      <c r="A42" s="2" t="inlineStr">
        <is>
          <t>41</t>
        </is>
      </c>
      <c r="B42" s="2" t="inlineStr">
        <is>
          <t>인물</t>
        </is>
      </c>
      <c r="C42" s="2" t="inlineStr">
        <is>
          <t>서일</t>
        </is>
      </c>
      <c r="D42" s="2" t="inlineStr">
        <is>
          <t>북로군정서 조직 주도.</t>
        </is>
      </c>
      <c r="E42" s="2" t="inlineStr">
        <is>
          <t>위키백과</t>
        </is>
      </c>
      <c r="F42" s="2" t="inlineStr">
        <is>
          <t>웹검색</t>
        </is>
      </c>
      <c r="G42" s="3" t="inlineStr">
        <is>
          <t>권장</t>
        </is>
      </c>
      <c r="H42" s="2" t="inlineStr"/>
    </row>
    <row r="43">
      <c r="A43" s="2" t="inlineStr">
        <is>
          <t>42</t>
        </is>
      </c>
      <c r="B43" s="2" t="inlineStr">
        <is>
          <t>인물</t>
        </is>
      </c>
      <c r="C43" s="2" t="inlineStr">
        <is>
          <t>이범석</t>
        </is>
      </c>
      <c r="D43" s="2" t="inlineStr">
        <is>
          <t>신흥무관학교 교관 합류 후 북로군정서 연성대장으로 청산리전투 참전.</t>
        </is>
      </c>
      <c r="E43" s="2" t="inlineStr">
        <is>
          <t>위키백과</t>
        </is>
      </c>
      <c r="F43" s="2" t="inlineStr">
        <is>
          <t>웹검색</t>
        </is>
      </c>
      <c r="G43" s="3" t="inlineStr">
        <is>
          <t>권장</t>
        </is>
      </c>
      <c r="H43" s="2" t="inlineStr">
        <is>
          <t>신흥무관학교-청산리전투 연결고리로 중요, 재검증 권장</t>
        </is>
      </c>
    </row>
    <row r="44">
      <c r="A44" s="2" t="inlineStr">
        <is>
          <t>43</t>
        </is>
      </c>
      <c r="B44" s="2" t="inlineStr">
        <is>
          <t>인물</t>
        </is>
      </c>
      <c r="C44" s="2" t="inlineStr">
        <is>
          <t>이승만</t>
        </is>
      </c>
      <c r="D44" s="2" t="inlineStr">
        <is>
          <t>임시정부 초대 대통령.</t>
        </is>
      </c>
      <c r="E44" s="2" t="inlineStr">
        <is>
          <t>한국민족문화대백과사전</t>
        </is>
      </c>
      <c r="F44" s="2" t="inlineStr">
        <is>
          <t>웹검색</t>
        </is>
      </c>
      <c r="G44" s="2" t="inlineStr">
        <is>
          <t>불필요(널리 알려진 사실)</t>
        </is>
      </c>
      <c r="H44" s="2" t="inlineStr"/>
    </row>
    <row r="45">
      <c r="A45" s="2" t="inlineStr">
        <is>
          <t>44</t>
        </is>
      </c>
      <c r="B45" s="2" t="inlineStr">
        <is>
          <t>인물</t>
        </is>
      </c>
      <c r="C45" s="2" t="inlineStr">
        <is>
          <t>이동휘</t>
        </is>
      </c>
      <c r="D45" s="2" t="inlineStr">
        <is>
          <t>임시정부 국무총리.</t>
        </is>
      </c>
      <c r="E45" s="2" t="inlineStr">
        <is>
          <t>한국민족문화대백과사전</t>
        </is>
      </c>
      <c r="F45" s="2" t="inlineStr">
        <is>
          <t>웹검색</t>
        </is>
      </c>
      <c r="G45" s="2" t="inlineStr">
        <is>
          <t>불필요</t>
        </is>
      </c>
      <c r="H45" s="2" t="inlineStr"/>
    </row>
    <row r="46">
      <c r="A46" s="2" t="inlineStr">
        <is>
          <t>45</t>
        </is>
      </c>
      <c r="B46" s="2" t="inlineStr">
        <is>
          <t>인물</t>
        </is>
      </c>
      <c r="C46" s="2" t="inlineStr">
        <is>
          <t>최린</t>
        </is>
      </c>
      <c r="D46" s="2" t="inlineStr">
        <is>
          <t>천도교, 독립선언서 초안 작성. 이후 변절, 1934년 중추원 참의·1937년 매일신보 사장·1939년 임전보국단장. 6.25때 납북.</t>
        </is>
      </c>
      <c r="E46" s="2" t="inlineStr">
        <is>
          <t>한국민족문화대백과사전 / 위키백과</t>
        </is>
      </c>
      <c r="F46" s="2" t="inlineStr">
        <is>
          <t>웹검색 교차확인</t>
        </is>
      </c>
      <c r="G46" s="3" t="inlineStr">
        <is>
          <t>권장</t>
        </is>
      </c>
      <c r="H46" s="2" t="inlineStr">
        <is>
          <t>전향 연도(1934) 재검증 권장</t>
        </is>
      </c>
    </row>
    <row r="47">
      <c r="A47" s="2" t="inlineStr">
        <is>
          <t>46</t>
        </is>
      </c>
      <c r="B47" s="2" t="inlineStr">
        <is>
          <t>인물</t>
        </is>
      </c>
      <c r="C47" s="2" t="inlineStr">
        <is>
          <t>정춘수</t>
        </is>
      </c>
      <c r="D47" s="2" t="inlineStr">
        <is>
          <t>감리회 목사, 원산 만세운동 지도. 1934년 흥업구락부 사건 후 전향, 신사참배·창씨개명 독려.</t>
        </is>
      </c>
      <c r="E47" s="2" t="inlineStr">
        <is>
          <t>한국민족문화대백과사전</t>
        </is>
      </c>
      <c r="F47" s="2" t="inlineStr">
        <is>
          <t>웹검색</t>
        </is>
      </c>
      <c r="G47" s="3" t="inlineStr">
        <is>
          <t>권장</t>
        </is>
      </c>
      <c r="H47" s="2" t="inlineStr"/>
    </row>
    <row r="48">
      <c r="A48" s="2" t="inlineStr">
        <is>
          <t>47</t>
        </is>
      </c>
      <c r="B48" s="2" t="inlineStr">
        <is>
          <t>인물</t>
        </is>
      </c>
      <c r="C48" s="2" t="inlineStr">
        <is>
          <t>박희도</t>
        </is>
      </c>
      <c r="D48" s="2" t="inlineStr">
        <is>
          <t>숭실중학교 졸업. 3.1운동 옥고, 신간회 활동 이후 전향해 친일반민족행위자로 규정.</t>
        </is>
      </c>
      <c r="E48" s="2" t="inlineStr">
        <is>
          <t>친일인명사전 / 위키백과</t>
        </is>
      </c>
      <c r="F48" s="2" t="inlineStr">
        <is>
          <t>웹검색</t>
        </is>
      </c>
      <c r="G48" s="3" t="inlineStr">
        <is>
          <t>권장</t>
        </is>
      </c>
      <c r="H48" s="2" t="inlineStr">
        <is>
          <t>숭실학교 졸업 사실이 핵심 연결고리 - 재검증 우선순위 높음</t>
        </is>
      </c>
    </row>
    <row r="49">
      <c r="A49" s="2" t="inlineStr">
        <is>
          <t>48</t>
        </is>
      </c>
      <c r="B49" s="2" t="inlineStr">
        <is>
          <t>참고(솔트룩스)</t>
        </is>
      </c>
      <c r="C49" s="2" t="inlineStr">
        <is>
          <t>이순신 검색 사례(2013 ZDNet)</t>
        </is>
      </c>
      <c r="D49" s="2" t="inlineStr">
        <is>
          <t>'이순신' 검색 시 국사편찬위원회·박물관·도서관 자료가 연계되는 LOD 사례는 솔트룩스가 아니라 경쟁사 다이퀘스트(DiQuest)의 사업으로 원 기사에 기재됨.</t>
        </is>
      </c>
      <c r="E49" s="2" t="inlineStr">
        <is>
          <t>ZDNet Korea(2013.07.09) 원문 직접 확인</t>
        </is>
      </c>
      <c r="F49" s="2" t="inlineStr">
        <is>
          <t>웹fetch로 원문 대조</t>
        </is>
      </c>
      <c r="G49" s="4" t="inlineStr">
        <is>
          <t>완료(오류로 확정)</t>
        </is>
      </c>
      <c r="H49" s="2" t="inlineStr">
        <is>
          <t>이 대화 초반, 솔트룩스 관련 문서의 오류로 지적된 사항. 온톨로지 데이터와 무관하나 프로젝트 배경상 기록.</t>
        </is>
      </c>
    </row>
  </sheetData>
  <autoFilter ref="A1:H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5" t="inlineStr">
        <is>
          <t>항목</t>
        </is>
      </c>
      <c r="B1" s="5" t="inlineStr">
        <is>
          <t>값</t>
        </is>
      </c>
    </row>
    <row r="2">
      <c r="A2" s="6" t="inlineStr">
        <is>
          <t>총 항목 수</t>
        </is>
      </c>
      <c r="B2" s="6" t="n">
        <v>48</v>
      </c>
    </row>
    <row r="3">
      <c r="A3" s="6" t="inlineStr">
        <is>
          <t>학교</t>
        </is>
      </c>
      <c r="B3" s="6" t="n">
        <v>5</v>
      </c>
    </row>
    <row r="4">
      <c r="A4" s="6" t="inlineStr">
        <is>
          <t>단체</t>
        </is>
      </c>
      <c r="B4" s="6" t="n">
        <v>6</v>
      </c>
    </row>
    <row r="5">
      <c r="A5" s="6" t="inlineStr">
        <is>
          <t>사건</t>
        </is>
      </c>
      <c r="B5" s="6" t="n">
        <v>6</v>
      </c>
    </row>
    <row r="6">
      <c r="A6" s="6" t="inlineStr">
        <is>
          <t>인물</t>
        </is>
      </c>
      <c r="B6" s="6" t="n">
        <v>30</v>
      </c>
    </row>
    <row r="7">
      <c r="A7" s="6" t="inlineStr">
        <is>
          <t>참고(솔트룩스)</t>
        </is>
      </c>
      <c r="B7" s="6" t="n">
        <v>1</v>
      </c>
    </row>
    <row r="8">
      <c r="A8" s="6" t="inlineStr"/>
      <c r="B8" s="6" t="inlineStr"/>
    </row>
    <row r="9">
      <c r="A9" s="6" t="inlineStr">
        <is>
          <t>재검증 권장 항목 수</t>
        </is>
      </c>
      <c r="B9" s="6">
        <f>COUNTIF('사실관계 목록'!G2:G49,"*권장*")</f>
        <v/>
      </c>
    </row>
    <row r="10">
      <c r="A10" s="6" t="inlineStr">
        <is>
          <t>재검증 불필요(널리 알려진 사실) 항목 수</t>
        </is>
      </c>
      <c r="B10" s="6">
        <f>COUNTIF('사실관계 목록'!G2:G49,"불필요*")</f>
        <v/>
      </c>
    </row>
    <row r="11">
      <c r="A11" s="6" t="inlineStr"/>
      <c r="B11" s="6" t="inlineStr"/>
    </row>
    <row r="12">
      <c r="A12" s="6" t="inlineStr">
        <is>
          <t>우선순위 높은 재검증 대상</t>
        </is>
      </c>
      <c r="B12" s="6" t="inlineStr">
        <is>
          <t>최광옥, 김좌진(신민회 이력), 이범석, 박희도(숭실학교 졸업), 이종호(안중근 의거 연루)</t>
        </is>
      </c>
    </row>
    <row r="13">
      <c r="A13" s="6" t="inlineStr">
        <is>
          <t>사유</t>
        </is>
      </c>
      <c r="B13" s="6" t="inlineStr">
        <is>
          <t>이 5개 항목은 서로 다른 계열(학교-단체, 계몽운동-무장투쟁, 독립운동-친일)을 잇는 핵심 연결고리로 온톨로지에서 사용되었기 때문에, 사실이 아닐 경우 그래프 구조 해석 자체가 바뀜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2026-08-17T14:45:18Z</dcterms:created>
  <dcterms:modified xsi:type="dcterms:W3CDTF">2026-08-17T14:45:18Z</dcterms:modified>
</cp:coreProperties>
</file>