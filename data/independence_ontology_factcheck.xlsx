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실관계 목록" sheetId="1" state="visible" r:id="rId3"/>
    <sheet name="요약" sheetId="2" state="visible" r:id="rId4"/>
  </sheets>
  <definedNames>
    <definedName function="false" hidden="true" localSheetId="0" name="_xlnm._FilterDatabase" vbProcedure="false">'사실관계 목록'!$A$1:$H$49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<sst xmlns="http://schemas.openxmlformats.org/spreadsheetml/2006/main" count="375" uniqueCount="201">
  <si>
    <t xml:space="preserve">번호</t>
  </si>
  <si>
    <t xml:space="preserve">분류</t>
  </si>
  <si>
    <r>
      <rPr>
        <b val="true"/>
        <sz val="11"/>
        <color rgb="FFFFFFFF"/>
        <rFont val="Noto Sans CJK SC"/>
        <family val="2"/>
      </rPr>
      <t xml:space="preserve">개체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사건명</t>
    </r>
  </si>
  <si>
    <t xml:space="preserve">확인된 사실</t>
  </si>
  <si>
    <r>
      <rPr>
        <b val="true"/>
        <sz val="11"/>
        <color rgb="FFFFFFFF"/>
        <rFont val="Noto Sans CJK SC"/>
        <family val="2"/>
      </rPr>
      <t xml:space="preserve">출처</t>
    </r>
    <r>
      <rPr>
        <b val="true"/>
        <sz val="11"/>
        <color rgb="FFFFFFFF"/>
        <rFont val="Arial"/>
        <family val="0"/>
        <charset val="1"/>
      </rPr>
      <t xml:space="preserve">(1</t>
    </r>
    <r>
      <rPr>
        <b val="true"/>
        <sz val="11"/>
        <color rgb="FFFFFFFF"/>
        <rFont val="Noto Sans CJK SC"/>
        <family val="2"/>
      </rPr>
      <t xml:space="preserve">차 확인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</si>
  <si>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확인방식</t>
  </si>
  <si>
    <t xml:space="preserve">재검증 필요 여부</t>
  </si>
  <si>
    <t xml:space="preserve">비고</t>
  </si>
  <si>
    <t xml:space="preserve">1</t>
  </si>
  <si>
    <t xml:space="preserve">학교</t>
  </si>
  <si>
    <t xml:space="preserve">오산학교</t>
  </si>
  <si>
    <r>
      <rPr>
        <sz val="10"/>
        <rFont val="Arial"/>
        <family val="0"/>
        <charset val="1"/>
      </rPr>
      <t xml:space="preserve">1907</t>
    </r>
    <r>
      <rPr>
        <sz val="10"/>
        <rFont val="Noto Sans CJK SC"/>
        <family val="2"/>
      </rPr>
      <t xml:space="preserve">년 이승훈이 평안북도 정주에 설립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신민회 결의에 따른 설립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</si>
  <si>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한국민족문화대백과사전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우리역사넷</t>
    </r>
  </si>
  <si>
    <t xml:space="preserve">웹검색 교차확인</t>
  </si>
  <si>
    <t xml:space="preserve">권장</t>
  </si>
  <si>
    <t xml:space="preserve">최초 팩트체크 시 확인됨</t>
  </si>
  <si>
    <t xml:space="preserve">2</t>
  </si>
  <si>
    <t xml:space="preserve">대성학교</t>
  </si>
  <si>
    <r>
      <rPr>
        <sz val="10"/>
        <rFont val="Noto Sans CJK SC"/>
        <family val="2"/>
      </rPr>
      <t xml:space="preserve">안창호가 평양에 설립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오산학교가 이를 모델로 삼음</t>
    </r>
    <r>
      <rPr>
        <sz val="10"/>
        <rFont val="Arial"/>
        <family val="0"/>
        <charset val="1"/>
      </rPr>
      <t xml:space="preserve">.</t>
    </r>
  </si>
  <si>
    <t xml:space="preserve">한국민족문화대백과사전</t>
  </si>
  <si>
    <t xml:space="preserve">웹검색</t>
  </si>
  <si>
    <t xml:space="preserve">오산학교와 함께 확인</t>
  </si>
  <si>
    <t xml:space="preserve">3</t>
  </si>
  <si>
    <t xml:space="preserve">숭실학교</t>
  </si>
  <si>
    <r>
      <rPr>
        <sz val="10"/>
        <rFont val="Arial"/>
        <family val="0"/>
        <charset val="1"/>
      </rPr>
      <t xml:space="preserve">1897</t>
    </r>
    <r>
      <rPr>
        <sz val="10"/>
        <rFont val="Noto Sans CJK SC"/>
        <family val="2"/>
      </rPr>
      <t xml:space="preserve">년 평양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미국 북장로교 선교사 배위량</t>
    </r>
    <r>
      <rPr>
        <sz val="10"/>
        <rFont val="Arial"/>
        <family val="0"/>
        <charset val="1"/>
      </rPr>
      <t xml:space="preserve">(W.M.Baird) </t>
    </r>
    <r>
      <rPr>
        <sz val="10"/>
        <rFont val="Noto Sans CJK SC"/>
        <family val="2"/>
      </rPr>
      <t xml:space="preserve">설립</t>
    </r>
    <r>
      <rPr>
        <sz val="10"/>
        <rFont val="Arial"/>
        <family val="0"/>
        <charset val="1"/>
      </rPr>
      <t xml:space="preserve">. 105</t>
    </r>
    <r>
      <rPr>
        <sz val="10"/>
        <rFont val="Noto Sans CJK SC"/>
        <family val="2"/>
      </rPr>
      <t xml:space="preserve">인사건</t>
    </r>
    <r>
      <rPr>
        <sz val="10"/>
        <rFont val="Arial"/>
        <family val="0"/>
        <charset val="1"/>
      </rPr>
      <t xml:space="preserve">·3.1</t>
    </r>
    <r>
      <rPr>
        <sz val="10"/>
        <rFont val="Noto Sans CJK SC"/>
        <family val="2"/>
      </rPr>
      <t xml:space="preserve">운동의 중심지 역할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</si>
  <si>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한국민족문화대백과사전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위키백과</t>
    </r>
  </si>
  <si>
    <t xml:space="preserve">4</t>
  </si>
  <si>
    <t xml:space="preserve">보성학교</t>
  </si>
  <si>
    <r>
      <rPr>
        <sz val="10"/>
        <rFont val="Arial"/>
        <family val="0"/>
        <charset val="1"/>
      </rPr>
      <t xml:space="preserve">1905</t>
    </r>
    <r>
      <rPr>
        <sz val="10"/>
        <rFont val="Noto Sans CJK SC"/>
        <family val="2"/>
      </rPr>
      <t xml:space="preserve">년 서울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이용익 설립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부속 인쇄소 보성사에서 </t>
    </r>
    <r>
      <rPr>
        <sz val="10"/>
        <rFont val="Arial"/>
        <family val="0"/>
        <charset val="1"/>
      </rPr>
      <t xml:space="preserve">3.1</t>
    </r>
    <r>
      <rPr>
        <sz val="10"/>
        <rFont val="Noto Sans CJK SC"/>
        <family val="2"/>
      </rPr>
      <t xml:space="preserve">운동 독립선언서 인쇄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현 고려대 전신</t>
    </r>
    <r>
      <rPr>
        <sz val="10"/>
        <rFont val="Arial"/>
        <family val="0"/>
        <charset val="1"/>
      </rPr>
      <t xml:space="preserve">.</t>
    </r>
  </si>
  <si>
    <t xml:space="preserve">5</t>
  </si>
  <si>
    <t xml:space="preserve">신흥무관학교</t>
  </si>
  <si>
    <r>
      <rPr>
        <sz val="10"/>
        <rFont val="Arial"/>
        <family val="0"/>
        <charset val="1"/>
      </rPr>
      <t xml:space="preserve">1911</t>
    </r>
    <r>
      <rPr>
        <sz val="10"/>
        <rFont val="Noto Sans CJK SC"/>
        <family val="2"/>
      </rPr>
      <t xml:space="preserve">년 서간도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신민회 결의로 이회영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이시영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이동녕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이상룡 등이 설립한 군사학교</t>
    </r>
    <r>
      <rPr>
        <sz val="10"/>
        <rFont val="Arial"/>
        <family val="0"/>
        <charset val="1"/>
      </rPr>
      <t xml:space="preserve">. 1920</t>
    </r>
    <r>
      <rPr>
        <sz val="10"/>
        <rFont val="Noto Sans CJK SC"/>
        <family val="2"/>
      </rPr>
      <t xml:space="preserve">년까지 약 </t>
    </r>
    <r>
      <rPr>
        <sz val="10"/>
        <rFont val="Arial"/>
        <family val="0"/>
        <charset val="1"/>
      </rPr>
      <t xml:space="preserve">3500</t>
    </r>
    <r>
      <rPr>
        <sz val="10"/>
        <rFont val="Noto Sans CJK SC"/>
        <family val="2"/>
      </rPr>
      <t xml:space="preserve">명 졸업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</si>
  <si>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우리역사넷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위키백과</t>
    </r>
  </si>
  <si>
    <r>
      <rPr>
        <sz val="10"/>
        <rFont val="Noto Sans CJK SC"/>
        <family val="2"/>
      </rPr>
      <t xml:space="preserve">계몽운동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무장투쟁을 잇는 핵심 노드로 지목됨</t>
    </r>
  </si>
  <si>
    <t xml:space="preserve">6</t>
  </si>
  <si>
    <t xml:space="preserve">단체</t>
  </si>
  <si>
    <t xml:space="preserve">신민회</t>
  </si>
  <si>
    <r>
      <rPr>
        <sz val="10"/>
        <rFont val="Arial"/>
        <family val="0"/>
        <charset val="1"/>
      </rPr>
      <t xml:space="preserve">1907</t>
    </r>
    <r>
      <rPr>
        <sz val="10"/>
        <rFont val="Noto Sans CJK SC"/>
        <family val="2"/>
      </rPr>
      <t xml:space="preserve">년 조직된 비밀결사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안창호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이승훈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양기탁 등이 중심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애국계몽운동 및 국외 무관학교 설립 결의</t>
    </r>
    <r>
      <rPr>
        <sz val="10"/>
        <rFont val="Arial"/>
        <family val="0"/>
        <charset val="1"/>
      </rPr>
      <t xml:space="preserve">.</t>
    </r>
  </si>
  <si>
    <t xml:space="preserve">7</t>
  </si>
  <si>
    <t xml:space="preserve">대한독립군</t>
  </si>
  <si>
    <r>
      <rPr>
        <sz val="10"/>
        <rFont val="Arial"/>
        <family val="0"/>
        <charset val="1"/>
      </rPr>
      <t xml:space="preserve">1919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3.1</t>
    </r>
    <r>
      <rPr>
        <sz val="10"/>
        <rFont val="Noto Sans CJK SC"/>
        <family val="2"/>
      </rPr>
      <t xml:space="preserve">운동 직후 홍범도가 창설</t>
    </r>
    <r>
      <rPr>
        <sz val="10"/>
        <rFont val="Arial"/>
        <family val="0"/>
        <charset val="1"/>
      </rPr>
      <t xml:space="preserve">. 1920</t>
    </r>
    <r>
      <rPr>
        <sz val="10"/>
        <rFont val="Noto Sans CJK SC"/>
        <family val="2"/>
      </rPr>
      <t xml:space="preserve">년 봉오동전투 승리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</si>
  <si>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위키백과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한국민족문화대백과사전</t>
    </r>
  </si>
  <si>
    <r>
      <rPr>
        <sz val="10"/>
        <rFont val="Noto Sans CJK SC"/>
        <family val="2"/>
      </rPr>
      <t xml:space="preserve">신민회 계열과 별개 계통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무장투쟁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명시</t>
    </r>
  </si>
  <si>
    <t xml:space="preserve">8</t>
  </si>
  <si>
    <t xml:space="preserve">북로군정서</t>
  </si>
  <si>
    <r>
      <rPr>
        <sz val="10"/>
        <rFont val="Arial"/>
        <family val="0"/>
        <charset val="1"/>
      </rPr>
      <t xml:space="preserve">1919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서일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김좌진 등이 조직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자체 사관연성소 운영</t>
    </r>
    <r>
      <rPr>
        <sz val="10"/>
        <rFont val="Arial"/>
        <family val="0"/>
        <charset val="1"/>
      </rPr>
      <t xml:space="preserve">.</t>
    </r>
  </si>
  <si>
    <t xml:space="preserve">위키백과</t>
  </si>
  <si>
    <t xml:space="preserve">9</t>
  </si>
  <si>
    <t xml:space="preserve">대한민국임시정부</t>
  </si>
  <si>
    <r>
      <rPr>
        <sz val="10"/>
        <rFont val="Arial"/>
        <family val="0"/>
        <charset val="1"/>
      </rPr>
      <t xml:space="preserve">1919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일 상해 수립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이승만 초대 대통령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이동휘 국무총리</t>
    </r>
    <r>
      <rPr>
        <sz val="10"/>
        <rFont val="Arial"/>
        <family val="0"/>
        <charset val="1"/>
      </rPr>
      <t xml:space="preserve">.</t>
    </r>
  </si>
  <si>
    <t xml:space="preserve">10</t>
  </si>
  <si>
    <t xml:space="preserve">조선물산장려회</t>
  </si>
  <si>
    <r>
      <rPr>
        <sz val="10"/>
        <rFont val="Arial"/>
        <family val="0"/>
        <charset val="1"/>
      </rPr>
      <t xml:space="preserve">1920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일 조만식 등이 평양에서 창립</t>
    </r>
    <r>
      <rPr>
        <sz val="10"/>
        <rFont val="Arial"/>
        <family val="0"/>
        <charset val="1"/>
      </rPr>
      <t xml:space="preserve">.</t>
    </r>
  </si>
  <si>
    <t xml:space="preserve">11</t>
  </si>
  <si>
    <t xml:space="preserve">신간회</t>
  </si>
  <si>
    <r>
      <rPr>
        <sz val="10"/>
        <rFont val="Arial"/>
        <family val="0"/>
        <charset val="1"/>
      </rPr>
      <t xml:space="preserve">1927</t>
    </r>
    <r>
      <rPr>
        <sz val="10"/>
        <rFont val="Noto Sans CJK SC"/>
        <family val="2"/>
      </rPr>
      <t xml:space="preserve">년 결성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민족주의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사회주의 협동전선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조만식 평양지회장</t>
    </r>
    <r>
      <rPr>
        <sz val="10"/>
        <rFont val="Arial"/>
        <family val="0"/>
        <charset val="1"/>
      </rPr>
      <t xml:space="preserve">.</t>
    </r>
  </si>
  <si>
    <t xml:space="preserve">12</t>
  </si>
  <si>
    <t xml:space="preserve">사건</t>
  </si>
  <si>
    <t xml:space="preserve">삼일운동</t>
  </si>
  <si>
    <r>
      <rPr>
        <sz val="10"/>
        <rFont val="Arial"/>
        <family val="0"/>
        <charset val="1"/>
      </rPr>
      <t xml:space="preserve">1919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전민족적 독립운동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민족대표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</si>
  <si>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불필요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널리 알려진 사실</t>
    </r>
    <r>
      <rPr>
        <sz val="10"/>
        <rFont val="Arial"/>
        <family val="0"/>
        <charset val="1"/>
      </rPr>
      <t xml:space="preserve">)</t>
    </r>
  </si>
  <si>
    <t xml:space="preserve">13</t>
  </si>
  <si>
    <t xml:space="preserve">안악사건</t>
  </si>
  <si>
    <r>
      <rPr>
        <sz val="10"/>
        <rFont val="Arial"/>
        <family val="0"/>
        <charset val="1"/>
      </rPr>
      <t xml:space="preserve">1910</t>
    </r>
    <r>
      <rPr>
        <sz val="10"/>
        <rFont val="Noto Sans CJK SC"/>
        <family val="2"/>
      </rPr>
      <t xml:space="preserve">년 안명근이 서간도 무관학교 자금 모집 중 황해도 신천에서 체포된 사건</t>
    </r>
    <r>
      <rPr>
        <sz val="10"/>
        <rFont val="Arial"/>
        <family val="0"/>
        <charset val="1"/>
      </rPr>
      <t xml:space="preserve">.</t>
    </r>
  </si>
  <si>
    <t xml:space="preserve">우리역사넷</t>
  </si>
  <si>
    <r>
      <rPr>
        <sz val="10"/>
        <rFont val="Arial"/>
        <family val="0"/>
        <charset val="1"/>
      </rPr>
      <t xml:space="preserve">105</t>
    </r>
    <r>
      <rPr>
        <sz val="10"/>
        <rFont val="Noto Sans CJK SC"/>
        <family val="2"/>
      </rPr>
      <t xml:space="preserve">인사건과의 인과관계 확인 필요</t>
    </r>
  </si>
  <si>
    <t xml:space="preserve">14</t>
  </si>
  <si>
    <r>
      <rPr>
        <sz val="10"/>
        <rFont val="Arial"/>
        <family val="0"/>
        <charset val="1"/>
      </rPr>
      <t xml:space="preserve">105</t>
    </r>
    <r>
      <rPr>
        <sz val="10"/>
        <rFont val="Noto Sans CJK SC"/>
        <family val="2"/>
      </rPr>
      <t xml:space="preserve">인사건</t>
    </r>
  </si>
  <si>
    <r>
      <rPr>
        <sz val="10"/>
        <rFont val="Arial"/>
        <family val="0"/>
        <charset val="1"/>
      </rPr>
      <t xml:space="preserve">1911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일제가 안악사건을 확대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조작해 신민회 인사 </t>
    </r>
    <r>
      <rPr>
        <sz val="10"/>
        <rFont val="Arial"/>
        <family val="0"/>
        <charset val="1"/>
      </rPr>
      <t xml:space="preserve">105</t>
    </r>
    <r>
      <rPr>
        <sz val="10"/>
        <rFont val="Noto Sans CJK SC"/>
        <family val="2"/>
      </rPr>
      <t xml:space="preserve">인을 기소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</si>
  <si>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우리역사넷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한국민족문화대백과사전</t>
    </r>
  </si>
  <si>
    <r>
      <rPr>
        <sz val="10"/>
        <rFont val="Noto Sans CJK SC"/>
        <family val="2"/>
      </rPr>
      <t xml:space="preserve">안악사건→</t>
    </r>
    <r>
      <rPr>
        <sz val="10"/>
        <rFont val="Arial"/>
        <family val="0"/>
        <charset val="1"/>
      </rPr>
      <t xml:space="preserve">105</t>
    </r>
    <r>
      <rPr>
        <sz val="10"/>
        <rFont val="Noto Sans CJK SC"/>
        <family val="2"/>
      </rPr>
      <t xml:space="preserve">인사건 인과관계는 다수 출처에서 일치</t>
    </r>
  </si>
  <si>
    <t xml:space="preserve">15</t>
  </si>
  <si>
    <t xml:space="preserve">봉오동전투</t>
  </si>
  <si>
    <r>
      <rPr>
        <sz val="10"/>
        <rFont val="Arial"/>
        <family val="0"/>
        <charset val="1"/>
      </rPr>
      <t xml:space="preserve">1920</t>
    </r>
    <r>
      <rPr>
        <sz val="10"/>
        <rFont val="Noto Sans CJK SC"/>
        <family val="2"/>
      </rPr>
      <t xml:space="preserve">년 홍범도의 대한독립군이 일본군을 대파</t>
    </r>
    <r>
      <rPr>
        <sz val="10"/>
        <rFont val="Arial"/>
        <family val="0"/>
        <charset val="1"/>
      </rPr>
      <t xml:space="preserve">.</t>
    </r>
  </si>
  <si>
    <t xml:space="preserve">16</t>
  </si>
  <si>
    <t xml:space="preserve">청산리전투</t>
  </si>
  <si>
    <r>
      <rPr>
        <sz val="10"/>
        <rFont val="Arial"/>
        <family val="0"/>
        <charset val="1"/>
      </rPr>
      <t xml:space="preserve">1920</t>
    </r>
    <r>
      <rPr>
        <sz val="10"/>
        <rFont val="Noto Sans CJK SC"/>
        <family val="2"/>
      </rPr>
      <t xml:space="preserve">년 김좌진의 북로군정서와 홍범도의 대한독립군 연합 승리</t>
    </r>
    <r>
      <rPr>
        <sz val="10"/>
        <rFont val="Arial"/>
        <family val="0"/>
        <charset val="1"/>
      </rPr>
      <t xml:space="preserve">.</t>
    </r>
  </si>
  <si>
    <t xml:space="preserve">17</t>
  </si>
  <si>
    <t xml:space="preserve">물산장려운동</t>
  </si>
  <si>
    <r>
      <rPr>
        <sz val="10"/>
        <rFont val="Arial"/>
        <family val="0"/>
        <charset val="1"/>
      </rPr>
      <t xml:space="preserve">1920</t>
    </r>
    <r>
      <rPr>
        <sz val="10"/>
        <rFont val="Noto Sans CJK SC"/>
        <family val="2"/>
      </rPr>
      <t xml:space="preserve">년 평양에서 시작된 국산품 애용 운동</t>
    </r>
    <r>
      <rPr>
        <sz val="10"/>
        <rFont val="Arial"/>
        <family val="0"/>
        <charset val="1"/>
      </rPr>
      <t xml:space="preserve">.</t>
    </r>
  </si>
  <si>
    <t xml:space="preserve">불필요</t>
  </si>
  <si>
    <t xml:space="preserve">18</t>
  </si>
  <si>
    <t xml:space="preserve">인물</t>
  </si>
  <si>
    <t xml:space="preserve">이승훈</t>
  </si>
  <si>
    <r>
      <rPr>
        <sz val="10"/>
        <rFont val="Arial"/>
        <family val="0"/>
        <charset val="1"/>
      </rPr>
      <t xml:space="preserve">1864~1930. </t>
    </r>
    <r>
      <rPr>
        <sz val="10"/>
        <rFont val="Noto Sans CJK SC"/>
        <family val="2"/>
      </rPr>
      <t xml:space="preserve">오산학교 설립자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신민회 회원</t>
    </r>
    <r>
      <rPr>
        <sz val="10"/>
        <rFont val="Arial"/>
        <family val="0"/>
        <charset val="1"/>
      </rPr>
      <t xml:space="preserve">, 105</t>
    </r>
    <r>
      <rPr>
        <sz val="10"/>
        <rFont val="Noto Sans CJK SC"/>
        <family val="2"/>
      </rPr>
      <t xml:space="preserve">인사건 연루</t>
    </r>
    <r>
      <rPr>
        <sz val="10"/>
        <rFont val="Arial"/>
        <family val="0"/>
        <charset val="1"/>
      </rPr>
      <t xml:space="preserve">, 3.1</t>
    </r>
    <r>
      <rPr>
        <sz val="10"/>
        <rFont val="Noto Sans CJK SC"/>
        <family val="2"/>
      </rPr>
      <t xml:space="preserve">운동 민족대표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.</t>
    </r>
  </si>
  <si>
    <t xml:space="preserve">생몰년 재확인 권장</t>
  </si>
  <si>
    <t xml:space="preserve">19</t>
  </si>
  <si>
    <t xml:space="preserve">안창호</t>
  </si>
  <si>
    <r>
      <rPr>
        <sz val="10"/>
        <rFont val="Noto Sans CJK SC"/>
        <family val="2"/>
      </rPr>
      <t xml:space="preserve">대성학교 설립자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신민회 주도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임시정부 국무원 임시사료편찬회 총재</t>
    </r>
    <r>
      <rPr>
        <sz val="10"/>
        <rFont val="Arial"/>
        <family val="0"/>
        <charset val="1"/>
      </rPr>
      <t xml:space="preserve">.</t>
    </r>
  </si>
  <si>
    <t xml:space="preserve">20</t>
  </si>
  <si>
    <t xml:space="preserve">조만식</t>
  </si>
  <si>
    <r>
      <rPr>
        <sz val="10"/>
        <rFont val="Noto Sans CJK SC"/>
        <family val="2"/>
      </rPr>
      <t xml:space="preserve">오산학교 교사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교장 역임</t>
    </r>
    <r>
      <rPr>
        <sz val="10"/>
        <rFont val="Arial"/>
        <family val="0"/>
        <charset val="1"/>
      </rPr>
      <t xml:space="preserve">. 3.1</t>
    </r>
    <r>
      <rPr>
        <sz val="10"/>
        <rFont val="Noto Sans CJK SC"/>
        <family val="2"/>
      </rPr>
      <t xml:space="preserve">운동 가담 후 옥고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조선물산장려회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신간회 주도</t>
    </r>
    <r>
      <rPr>
        <sz val="10"/>
        <rFont val="Arial"/>
        <family val="0"/>
        <charset val="1"/>
      </rPr>
      <t xml:space="preserve">.</t>
    </r>
  </si>
  <si>
    <t xml:space="preserve">21</t>
  </si>
  <si>
    <t xml:space="preserve">유영모</t>
  </si>
  <si>
    <r>
      <rPr>
        <sz val="10"/>
        <rFont val="Noto Sans CJK SC"/>
        <family val="2"/>
      </rPr>
      <t xml:space="preserve">오산학교 교장 역임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함석헌을 가르침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</si>
  <si>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확인만 진행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추가 교차확인 권장</t>
    </r>
  </si>
  <si>
    <t xml:space="preserve">22</t>
  </si>
  <si>
    <t xml:space="preserve">함석헌</t>
  </si>
  <si>
    <r>
      <rPr>
        <sz val="10"/>
        <rFont val="Noto Sans CJK SC"/>
        <family val="2"/>
      </rPr>
      <t xml:space="preserve">오산학교 졸업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유영모에게 사사</t>
    </r>
    <r>
      <rPr>
        <sz val="10"/>
        <rFont val="Arial"/>
        <family val="0"/>
        <charset val="1"/>
      </rPr>
      <t xml:space="preserve">.</t>
    </r>
  </si>
  <si>
    <t xml:space="preserve">23</t>
  </si>
  <si>
    <t xml:space="preserve">양기탁</t>
  </si>
  <si>
    <r>
      <rPr>
        <sz val="10"/>
        <rFont val="Noto Sans CJK SC"/>
        <family val="2"/>
      </rPr>
      <t xml:space="preserve">신민회 회원</t>
    </r>
    <r>
      <rPr>
        <sz val="10"/>
        <rFont val="Arial"/>
        <family val="0"/>
        <charset val="1"/>
      </rPr>
      <t xml:space="preserve">.</t>
    </r>
  </si>
  <si>
    <t xml:space="preserve">24</t>
  </si>
  <si>
    <t xml:space="preserve">안명근</t>
  </si>
  <si>
    <r>
      <rPr>
        <sz val="10"/>
        <rFont val="Noto Sans CJK SC"/>
        <family val="2"/>
      </rPr>
      <t xml:space="preserve">안중근의 사촌동생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안악사건의 주역</t>
    </r>
    <r>
      <rPr>
        <sz val="10"/>
        <rFont val="Arial"/>
        <family val="0"/>
        <charset val="1"/>
      </rPr>
      <t xml:space="preserve">.</t>
    </r>
  </si>
  <si>
    <t xml:space="preserve">25</t>
  </si>
  <si>
    <t xml:space="preserve">홍범도</t>
  </si>
  <si>
    <r>
      <rPr>
        <sz val="10"/>
        <rFont val="Arial"/>
        <family val="0"/>
        <charset val="1"/>
      </rPr>
      <t xml:space="preserve">1868~1943. </t>
    </r>
    <r>
      <rPr>
        <sz val="10"/>
        <rFont val="Noto Sans CJK SC"/>
        <family val="2"/>
      </rPr>
      <t xml:space="preserve">대한독립군 창설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봉오동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청산리전투 참전</t>
    </r>
    <r>
      <rPr>
        <sz val="10"/>
        <rFont val="Arial"/>
        <family val="0"/>
        <charset val="1"/>
      </rPr>
      <t xml:space="preserve">.</t>
    </r>
  </si>
  <si>
    <t xml:space="preserve">26</t>
  </si>
  <si>
    <r>
      <rPr>
        <sz val="10"/>
        <rFont val="Noto Sans CJK SC"/>
        <family val="2"/>
      </rPr>
      <t xml:space="preserve">배위량</t>
    </r>
    <r>
      <rPr>
        <sz val="10"/>
        <rFont val="Arial"/>
        <family val="0"/>
        <charset val="1"/>
      </rPr>
      <t xml:space="preserve">(W.M.Baird)</t>
    </r>
  </si>
  <si>
    <r>
      <rPr>
        <sz val="10"/>
        <rFont val="Noto Sans CJK SC"/>
        <family val="2"/>
      </rPr>
      <t xml:space="preserve">미국 북장로교 선교사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숭실학교 설립자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</si>
  <si>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영문 표기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생몰년 재확인 권장</t>
    </r>
  </si>
  <si>
    <t xml:space="preserve">27</t>
  </si>
  <si>
    <t xml:space="preserve">최광옥</t>
  </si>
  <si>
    <r>
      <rPr>
        <sz val="10"/>
        <rFont val="Noto Sans CJK SC"/>
        <family val="2"/>
      </rPr>
      <t xml:space="preserve">숭실학교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졸업생이자 신민회 평안남도 조직 지도자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</si>
  <si>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학교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단체 연결고리로 특히 중요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재검증 우선순위 높음</t>
    </r>
  </si>
  <si>
    <t xml:space="preserve">28</t>
  </si>
  <si>
    <t xml:space="preserve">차이석</t>
  </si>
  <si>
    <r>
      <rPr>
        <sz val="10"/>
        <rFont val="Noto Sans CJK SC"/>
        <family val="2"/>
      </rPr>
      <t xml:space="preserve">숭실학교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졸업생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대한민국 임시정부 요인</t>
    </r>
    <r>
      <rPr>
        <sz val="10"/>
        <rFont val="Arial"/>
        <family val="0"/>
        <charset val="1"/>
      </rPr>
      <t xml:space="preserve">. 1933</t>
    </r>
    <r>
      <rPr>
        <sz val="10"/>
        <rFont val="Noto Sans CJK SC"/>
        <family val="2"/>
      </rPr>
      <t xml:space="preserve">년 임시정부 재건 참여</t>
    </r>
    <r>
      <rPr>
        <sz val="10"/>
        <rFont val="Arial"/>
        <family val="0"/>
        <charset val="1"/>
      </rPr>
      <t xml:space="preserve">.</t>
    </r>
  </si>
  <si>
    <t xml:space="preserve">29</t>
  </si>
  <si>
    <t xml:space="preserve">이용익</t>
  </si>
  <si>
    <r>
      <rPr>
        <sz val="10"/>
        <rFont val="Noto Sans CJK SC"/>
        <family val="2"/>
      </rPr>
      <t xml:space="preserve">보성학교 설립자</t>
    </r>
    <r>
      <rPr>
        <sz val="10"/>
        <rFont val="Arial"/>
        <family val="0"/>
        <charset val="1"/>
      </rPr>
      <t xml:space="preserve">. 1907</t>
    </r>
    <r>
      <rPr>
        <sz val="10"/>
        <rFont val="Noto Sans CJK SC"/>
        <family val="2"/>
      </rPr>
      <t xml:space="preserve">년 사망</t>
    </r>
    <r>
      <rPr>
        <sz val="10"/>
        <rFont val="Arial"/>
        <family val="0"/>
        <charset val="1"/>
      </rPr>
      <t xml:space="preserve">.</t>
    </r>
  </si>
  <si>
    <t xml:space="preserve">30</t>
  </si>
  <si>
    <t xml:space="preserve">이종호</t>
  </si>
  <si>
    <r>
      <rPr>
        <sz val="10"/>
        <rFont val="Noto Sans CJK SC"/>
        <family val="2"/>
      </rPr>
      <t xml:space="preserve">이용익의 손자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보성학교 경영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신민회 가담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안중근 의거 배후 인물로 지목되어 망명</t>
    </r>
    <r>
      <rPr>
        <sz val="10"/>
        <rFont val="Arial"/>
        <family val="0"/>
        <charset val="1"/>
      </rPr>
      <t xml:space="preserve">.</t>
    </r>
  </si>
  <si>
    <t xml:space="preserve">안중근 의거 연루 부분은 특히 재검증 권장</t>
  </si>
  <si>
    <t xml:space="preserve">31</t>
  </si>
  <si>
    <t xml:space="preserve">손병희</t>
  </si>
  <si>
    <r>
      <rPr>
        <sz val="10"/>
        <rFont val="Noto Sans CJK SC"/>
        <family val="2"/>
      </rPr>
      <t xml:space="preserve">천도교 지도자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민족대표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인 핵심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보성학교 인수 주도</t>
    </r>
    <r>
      <rPr>
        <sz val="10"/>
        <rFont val="Arial"/>
        <family val="0"/>
        <charset val="1"/>
      </rPr>
      <t xml:space="preserve">.</t>
    </r>
  </si>
  <si>
    <t xml:space="preserve">32</t>
  </si>
  <si>
    <t xml:space="preserve">이회영</t>
  </si>
  <si>
    <r>
      <rPr>
        <sz val="10"/>
        <rFont val="Noto Sans CJK SC"/>
        <family val="2"/>
      </rPr>
      <t xml:space="preserve">신민회 발족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헤이그특사 파견 주도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신흥무관학교 설립을 이끔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</si>
  <si>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위키백과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우리역사넷</t>
    </r>
  </si>
  <si>
    <t xml:space="preserve">33</t>
  </si>
  <si>
    <t xml:space="preserve">이시영</t>
  </si>
  <si>
    <r>
      <rPr>
        <sz val="10"/>
        <rFont val="Noto Sans CJK SC"/>
        <family val="2"/>
      </rPr>
      <t xml:space="preserve">신흥무관학교 설립 참여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이후 임시정부 참여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초대 대한민국 부통령</t>
    </r>
    <r>
      <rPr>
        <sz val="10"/>
        <rFont val="Arial"/>
        <family val="0"/>
        <charset val="1"/>
      </rPr>
      <t xml:space="preserve">.</t>
    </r>
  </si>
  <si>
    <t xml:space="preserve">34</t>
  </si>
  <si>
    <t xml:space="preserve">이동녕</t>
  </si>
  <si>
    <r>
      <rPr>
        <sz val="10"/>
        <rFont val="Noto Sans CJK SC"/>
        <family val="2"/>
      </rPr>
      <t xml:space="preserve">신흥무관학교 설립 참여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임시정부 국무총리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대통령직무대리 역임</t>
    </r>
    <r>
      <rPr>
        <sz val="10"/>
        <rFont val="Arial"/>
        <family val="0"/>
        <charset val="1"/>
      </rPr>
      <t xml:space="preserve">.</t>
    </r>
  </si>
  <si>
    <t xml:space="preserve">35</t>
  </si>
  <si>
    <t xml:space="preserve">이상룡</t>
  </si>
  <si>
    <r>
      <rPr>
        <sz val="10"/>
        <rFont val="Noto Sans CJK SC"/>
        <family val="2"/>
      </rPr>
      <t xml:space="preserve">안동 유림 출신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신흥무관학교 설립 참여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양기탁 등의 권유로 만주 이주</t>
    </r>
    <r>
      <rPr>
        <sz val="10"/>
        <rFont val="Arial"/>
        <family val="0"/>
        <charset val="1"/>
      </rPr>
      <t xml:space="preserve">.</t>
    </r>
  </si>
  <si>
    <t xml:space="preserve">36</t>
  </si>
  <si>
    <t xml:space="preserve">지청천</t>
  </si>
  <si>
    <r>
      <rPr>
        <sz val="10"/>
        <rFont val="Noto Sans CJK SC"/>
        <family val="2"/>
      </rPr>
      <t xml:space="preserve">일본육사 출신 장교였다가 망명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신흥무관학교 교관 합류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이후 광복군 총사령관</t>
    </r>
    <r>
      <rPr>
        <sz val="10"/>
        <rFont val="Arial"/>
        <family val="0"/>
        <charset val="1"/>
      </rPr>
      <t xml:space="preserve">.</t>
    </r>
  </si>
  <si>
    <t xml:space="preserve">37</t>
  </si>
  <si>
    <t xml:space="preserve">이종일</t>
  </si>
  <si>
    <r>
      <rPr>
        <sz val="10"/>
        <rFont val="Noto Sans CJK SC"/>
        <family val="2"/>
      </rPr>
      <t xml:space="preserve">보성사 사장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독립선언서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천매 인쇄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</si>
  <si>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인쇄 매수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천매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재확인 권장</t>
    </r>
  </si>
  <si>
    <t xml:space="preserve">38</t>
  </si>
  <si>
    <t xml:space="preserve">한용운</t>
  </si>
  <si>
    <r>
      <rPr>
        <sz val="10"/>
        <rFont val="Noto Sans CJK SC"/>
        <family val="2"/>
      </rPr>
      <t xml:space="preserve">민족대표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불교계 대표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시인</t>
    </r>
    <r>
      <rPr>
        <sz val="10"/>
        <rFont val="Arial"/>
        <family val="0"/>
        <charset val="1"/>
      </rPr>
      <t xml:space="preserve">.</t>
    </r>
  </si>
  <si>
    <t xml:space="preserve">39</t>
  </si>
  <si>
    <t xml:space="preserve">오세창</t>
  </si>
  <si>
    <r>
      <rPr>
        <sz val="10"/>
        <rFont val="Noto Sans CJK SC"/>
        <family val="2"/>
      </rPr>
      <t xml:space="preserve">민족대표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천도교 대표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독립선언서 원고를 보성사로 전달</t>
    </r>
    <r>
      <rPr>
        <sz val="10"/>
        <rFont val="Arial"/>
        <family val="0"/>
        <charset val="1"/>
      </rPr>
      <t xml:space="preserve">.</t>
    </r>
  </si>
  <si>
    <t xml:space="preserve">40</t>
  </si>
  <si>
    <t xml:space="preserve">김좌진</t>
  </si>
  <si>
    <r>
      <rPr>
        <sz val="10"/>
        <rFont val="Arial"/>
        <family val="0"/>
        <charset val="1"/>
      </rPr>
      <t xml:space="preserve">1889~1930. </t>
    </r>
    <r>
      <rPr>
        <sz val="10"/>
        <rFont val="Noto Sans CJK SC"/>
        <family val="2"/>
      </rPr>
      <t xml:space="preserve">신민회 등 계몽운동 이력 후 북로군정서 이끌고 청산리대첩 지휘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</si>
  <si>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신민회 활동 이력 부분 재검증 우선순위 높음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계열을 잇는 핵심 근거</t>
    </r>
    <r>
      <rPr>
        <sz val="10"/>
        <rFont val="Arial"/>
        <family val="0"/>
        <charset val="1"/>
      </rPr>
      <t xml:space="preserve">)</t>
    </r>
  </si>
  <si>
    <t xml:space="preserve">41</t>
  </si>
  <si>
    <t xml:space="preserve">서일</t>
  </si>
  <si>
    <r>
      <rPr>
        <sz val="10"/>
        <rFont val="Noto Sans CJK SC"/>
        <family val="2"/>
      </rPr>
      <t xml:space="preserve">북로군정서 조직 주도</t>
    </r>
    <r>
      <rPr>
        <sz val="10"/>
        <rFont val="Arial"/>
        <family val="0"/>
        <charset val="1"/>
      </rPr>
      <t xml:space="preserve">.</t>
    </r>
  </si>
  <si>
    <t xml:space="preserve">42</t>
  </si>
  <si>
    <t xml:space="preserve">이범석</t>
  </si>
  <si>
    <r>
      <rPr>
        <sz val="10"/>
        <rFont val="Noto Sans CJK SC"/>
        <family val="2"/>
      </rPr>
      <t xml:space="preserve">신흥무관학교 교관 합류 후 북로군정서 연성대장으로 청산리전투 참전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</si>
  <si>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신흥무관학교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청산리전투 연결고리로 중요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재검증 권장</t>
    </r>
  </si>
  <si>
    <t xml:space="preserve">43</t>
  </si>
  <si>
    <t xml:space="preserve">이승만</t>
  </si>
  <si>
    <r>
      <rPr>
        <sz val="10"/>
        <rFont val="Noto Sans CJK SC"/>
        <family val="2"/>
      </rPr>
      <t xml:space="preserve">임시정부 초대 대통령</t>
    </r>
    <r>
      <rPr>
        <sz val="10"/>
        <rFont val="Arial"/>
        <family val="0"/>
        <charset val="1"/>
      </rPr>
      <t xml:space="preserve">.</t>
    </r>
  </si>
  <si>
    <t xml:space="preserve">44</t>
  </si>
  <si>
    <t xml:space="preserve">이동휘</t>
  </si>
  <si>
    <r>
      <rPr>
        <sz val="10"/>
        <rFont val="Noto Sans CJK SC"/>
        <family val="2"/>
      </rPr>
      <t xml:space="preserve">임시정부 국무총리</t>
    </r>
    <r>
      <rPr>
        <sz val="10"/>
        <rFont val="Arial"/>
        <family val="0"/>
        <charset val="1"/>
      </rPr>
      <t xml:space="preserve">.</t>
    </r>
  </si>
  <si>
    <t xml:space="preserve">45</t>
  </si>
  <si>
    <t xml:space="preserve">최린</t>
  </si>
  <si>
    <r>
      <rPr>
        <sz val="10"/>
        <rFont val="Noto Sans CJK SC"/>
        <family val="2"/>
      </rPr>
      <t xml:space="preserve">천도교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독립선언서 초안 작성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이후 변절</t>
    </r>
    <r>
      <rPr>
        <sz val="10"/>
        <rFont val="Arial"/>
        <family val="0"/>
        <charset val="1"/>
      </rPr>
      <t xml:space="preserve">, 1934</t>
    </r>
    <r>
      <rPr>
        <sz val="10"/>
        <rFont val="Noto Sans CJK SC"/>
        <family val="2"/>
      </rPr>
      <t xml:space="preserve">년 중추원 참의</t>
    </r>
    <r>
      <rPr>
        <sz val="10"/>
        <rFont val="Arial"/>
        <family val="0"/>
        <charset val="1"/>
      </rPr>
      <t xml:space="preserve">·1937</t>
    </r>
    <r>
      <rPr>
        <sz val="10"/>
        <rFont val="Noto Sans CJK SC"/>
        <family val="2"/>
      </rPr>
      <t xml:space="preserve">년 매일신보 사장</t>
    </r>
    <r>
      <rPr>
        <sz val="10"/>
        <rFont val="Arial"/>
        <family val="0"/>
        <charset val="1"/>
      </rPr>
      <t xml:space="preserve">·1939</t>
    </r>
    <r>
      <rPr>
        <sz val="10"/>
        <rFont val="Noto Sans CJK SC"/>
        <family val="2"/>
      </rPr>
      <t xml:space="preserve">년 임전보국단장</t>
    </r>
    <r>
      <rPr>
        <sz val="10"/>
        <rFont val="Arial"/>
        <family val="0"/>
        <charset val="1"/>
      </rPr>
      <t xml:space="preserve">. 6.25</t>
    </r>
    <r>
      <rPr>
        <sz val="10"/>
        <rFont val="Noto Sans CJK SC"/>
        <family val="2"/>
      </rPr>
      <t xml:space="preserve">때 납북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</si>
  <si>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전향 연도</t>
    </r>
    <r>
      <rPr>
        <sz val="10"/>
        <rFont val="Arial"/>
        <family val="0"/>
        <charset val="1"/>
      </rPr>
      <t xml:space="preserve">(1934) </t>
    </r>
    <r>
      <rPr>
        <sz val="10"/>
        <rFont val="Noto Sans CJK SC"/>
        <family val="2"/>
      </rPr>
      <t xml:space="preserve">재검증 권장</t>
    </r>
  </si>
  <si>
    <t xml:space="preserve">46</t>
  </si>
  <si>
    <t xml:space="preserve">정춘수</t>
  </si>
  <si>
    <r>
      <rPr>
        <sz val="10"/>
        <rFont val="Noto Sans CJK SC"/>
        <family val="2"/>
      </rPr>
      <t xml:space="preserve">감리회 목사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원산 만세운동 지도</t>
    </r>
    <r>
      <rPr>
        <sz val="10"/>
        <rFont val="Arial"/>
        <family val="0"/>
        <charset val="1"/>
      </rPr>
      <t xml:space="preserve">. 1934</t>
    </r>
    <r>
      <rPr>
        <sz val="10"/>
        <rFont val="Noto Sans CJK SC"/>
        <family val="2"/>
      </rPr>
      <t xml:space="preserve">년 흥업구락부 사건 후 전향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신사참배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창씨개명 독려</t>
    </r>
    <r>
      <rPr>
        <sz val="10"/>
        <rFont val="Arial"/>
        <family val="0"/>
        <charset val="1"/>
      </rPr>
      <t xml:space="preserve">.</t>
    </r>
  </si>
  <si>
    <t xml:space="preserve">47</t>
  </si>
  <si>
    <t xml:space="preserve">박희도</t>
  </si>
  <si>
    <r>
      <rPr>
        <sz val="10"/>
        <rFont val="Noto Sans CJK SC"/>
        <family val="2"/>
      </rPr>
      <t xml:space="preserve">숭실중학교 졸업</t>
    </r>
    <r>
      <rPr>
        <sz val="10"/>
        <rFont val="Arial"/>
        <family val="0"/>
        <charset val="1"/>
      </rPr>
      <t xml:space="preserve">. 3.1</t>
    </r>
    <r>
      <rPr>
        <sz val="10"/>
        <rFont val="Noto Sans CJK SC"/>
        <family val="2"/>
      </rPr>
      <t xml:space="preserve">운동 옥고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신간회 활동 이후 전향해 친일반민족행위자로 규정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</si>
  <si>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친일인명사전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위키백과</t>
    </r>
  </si>
  <si>
    <r>
      <rPr>
        <sz val="10"/>
        <rFont val="Noto Sans CJK SC"/>
        <family val="2"/>
      </rPr>
      <t xml:space="preserve">숭실학교 졸업 사실이 핵심 연결고리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재검증 우선순위 높음</t>
    </r>
  </si>
  <si>
    <t xml:space="preserve">48</t>
  </si>
  <si>
    <r>
      <rPr>
        <sz val="10"/>
        <rFont val="Noto Sans CJK SC"/>
        <family val="2"/>
      </rPr>
      <t xml:space="preserve">참고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솔트룩스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</si>
  <si>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이순신 검색 사례</t>
    </r>
    <r>
      <rPr>
        <sz val="10"/>
        <rFont val="Arial"/>
        <family val="0"/>
        <charset val="1"/>
      </rPr>
      <t xml:space="preserve">(2013 ZDNet)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</si>
  <si>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이순신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검색 시 국사편찬위원회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박물관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도서관 자료가 연계되는 </t>
    </r>
    <r>
      <rPr>
        <sz val="10"/>
        <rFont val="Arial"/>
        <family val="0"/>
        <charset val="1"/>
      </rPr>
      <t xml:space="preserve">LOD </t>
    </r>
    <r>
      <rPr>
        <sz val="10"/>
        <rFont val="Noto Sans CJK SC"/>
        <family val="2"/>
      </rPr>
      <t xml:space="preserve">사례는 솔트룩스가 아니라 경쟁사 다이퀘스트</t>
    </r>
    <r>
      <rPr>
        <sz val="10"/>
        <rFont val="Arial"/>
        <family val="0"/>
        <charset val="1"/>
      </rPr>
      <t xml:space="preserve">(DiQuest)</t>
    </r>
    <r>
      <rPr>
        <sz val="10"/>
        <rFont val="Noto Sans CJK SC"/>
        <family val="2"/>
      </rPr>
      <t xml:space="preserve">의 사업으로 원 기사에 기재됨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</si>
  <si>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ZDNet Korea(2013.07.09) </t>
    </r>
    <r>
      <rPr>
        <sz val="10"/>
        <rFont val="Noto Sans CJK SC"/>
        <family val="2"/>
      </rPr>
      <t xml:space="preserve">원문 직접 확인</t>
    </r>
  </si>
  <si>
    <r>
      <rPr>
        <sz val="10"/>
        <rFont val="Noto Sans CJK SC"/>
        <family val="2"/>
      </rPr>
      <t xml:space="preserve">웹</t>
    </r>
    <r>
      <rPr>
        <sz val="10"/>
        <rFont val="Arial"/>
        <family val="0"/>
        <charset val="1"/>
      </rPr>
      <t xml:space="preserve">fetch</t>
    </r>
    <r>
      <rPr>
        <sz val="10"/>
        <rFont val="Noto Sans CJK SC"/>
        <family val="2"/>
      </rPr>
      <t xml:space="preserve">로 원문 대조</t>
    </r>
  </si>
  <si>
    <r>
      <rPr>
        <sz val="10"/>
        <rFont val="Noto Sans CJK SC"/>
        <family val="2"/>
      </rPr>
      <t xml:space="preserve">완료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오류로 확정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</si>
  <si>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 대화 초반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솔트룩스 관련 문서의 오류로 지적된 사항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온톨로지 데이터와 무관하나 프로젝트 배경상 기록</t>
    </r>
    <r>
      <rPr>
        <sz val="10"/>
        <rFont val="Arial"/>
        <family val="0"/>
        <charset val="1"/>
      </rPr>
      <t xml:space="preserve">.</t>
    </r>
  </si>
  <si>
    <t xml:space="preserve">항목</t>
  </si>
  <si>
    <t xml:space="preserve">값</t>
  </si>
  <si>
    <t xml:space="preserve">총 항목 수</t>
  </si>
  <si>
    <t xml:space="preserve">재검증 권장 항목 수</t>
  </si>
  <si>
    <r>
      <rPr>
        <sz val="10"/>
        <rFont val="Noto Sans CJK SC"/>
        <family val="2"/>
      </rPr>
      <t xml:space="preserve">재검증 불필요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널리 알려진 사실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항목 수</t>
    </r>
  </si>
  <si>
    <t xml:space="preserve">우선순위 높은 재검증 대상</t>
  </si>
  <si>
    <r>
      <rPr>
        <sz val="10"/>
        <rFont val="Noto Sans CJK SC"/>
        <family val="2"/>
      </rPr>
      <t xml:space="preserve">최광옥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김좌진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신민회 이력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이범석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박희도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숭실학교 졸업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이종호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안중근 의거 연루</t>
    </r>
    <r>
      <rPr>
        <sz val="10"/>
        <rFont val="Arial"/>
        <family val="0"/>
        <charset val="1"/>
      </rPr>
      <t xml:space="preserve">)</t>
    </r>
  </si>
  <si>
    <t xml:space="preserve">사유</t>
  </si>
  <si>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 항목은 서로 다른 계열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학교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단체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계몽운동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무장투쟁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독립운동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친일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잇는 핵심 연결고리로 온톨로지에서 사용되었기 때문에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사실이 아닐 경우 그래프 구조 해석 자체가 바뀜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</si>
</sst>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2C3E66"/>
        <bgColor rgb="FF333333"/>
      </patternFill>
    </fill>
    <fill>
      <patternFill patternType="solid">
        <fgColor rgb="FFFCEEEA"/>
        <bgColor rgb="FFEAF2EA"/>
      </patternFill>
    </fill>
    <fill>
      <patternFill patternType="solid">
        <fgColor rgb="FFEAF2EA"/>
        <bgColor rgb="FFFCEE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BFA8"/>
      </left>
      <right style="thin">
        <color rgb="FFC9BFA8"/>
      </right>
      <top style="thin">
        <color rgb="FFC9BFA8"/>
      </top>
      <bottom style="thin">
        <color rgb="FFC9BF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C3E6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2EA"/>
          <bgColor rgb="FF000000"/>
        </patternFill>
      </fill>
    </dxf>
    <dxf>
      <fill>
        <patternFill patternType="solid">
          <fgColor rgb="FFFCEEE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FA8"/>
      <rgbColor rgb="FF808080"/>
      <rgbColor rgb="FF9999FF"/>
      <rgbColor rgb="FF993366"/>
      <rgbColor rgb="FFFCEEEA"/>
      <rgbColor rgb="FFEAF2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C3E6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55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0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9.85" hidden="false" customHeight="false" outlineLevel="0" collapsed="false">
      <c r="A2" s="2" t="s">
        <v>8</v>
      </c>
      <c r="B2" s="3" t="s">
        <v>9</v>
      </c>
      <c r="C2" s="3" t="s">
        <v>10</v>
      </c>
      <c r="D2" s="2" t="s">
        <v>11</v>
      </c>
      <c r="E2" s="3" t="s">
        <v>12</v>
      </c>
      <c r="F2" s="3" t="s">
        <v>13</v>
      </c>
      <c r="G2" s="4" t="s">
        <v>14</v>
      </c>
      <c r="H2" s="3" t="s">
        <v>15</v>
      </c>
    </row>
    <row r="3" customFormat="false" ht="15" hidden="false" customHeight="false" outlineLevel="0" collapsed="false">
      <c r="A3" s="2" t="s">
        <v>16</v>
      </c>
      <c r="B3" s="3" t="s">
        <v>9</v>
      </c>
      <c r="C3" s="3" t="s">
        <v>17</v>
      </c>
      <c r="D3" s="3" t="s">
        <v>18</v>
      </c>
      <c r="E3" s="3" t="s">
        <v>19</v>
      </c>
      <c r="F3" s="3" t="s">
        <v>20</v>
      </c>
      <c r="G3" s="4" t="s">
        <v>14</v>
      </c>
      <c r="H3" s="3" t="s">
        <v>21</v>
      </c>
    </row>
    <row r="4" customFormat="false" ht="29.85" hidden="false" customHeight="false" outlineLevel="0" collapsed="false">
      <c r="A4" s="2" t="s">
        <v>22</v>
      </c>
      <c r="B4" s="3" t="s">
        <v>9</v>
      </c>
      <c r="C4" s="3" t="s">
        <v>23</v>
      </c>
      <c r="D4" s="2" t="s">
        <v>24</v>
      </c>
      <c r="E4" s="3" t="s">
        <v>25</v>
      </c>
      <c r="F4" s="3" t="s">
        <v>13</v>
      </c>
      <c r="G4" s="4" t="s">
        <v>14</v>
      </c>
      <c r="H4" s="2"/>
    </row>
    <row r="5" customFormat="false" ht="29.85" hidden="false" customHeight="false" outlineLevel="0" collapsed="false">
      <c r="A5" s="2" t="s">
        <v>26</v>
      </c>
      <c r="B5" s="3" t="s">
        <v>9</v>
      </c>
      <c r="C5" s="3" t="s">
        <v>27</v>
      </c>
      <c r="D5" s="2" t="s">
        <v>28</v>
      </c>
      <c r="E5" s="3" t="s">
        <v>19</v>
      </c>
      <c r="F5" s="3" t="s">
        <v>20</v>
      </c>
      <c r="G5" s="4" t="s">
        <v>14</v>
      </c>
      <c r="H5" s="2"/>
    </row>
    <row r="6" customFormat="false" ht="29.85" hidden="false" customHeight="false" outlineLevel="0" collapsed="false">
      <c r="A6" s="2" t="s">
        <v>29</v>
      </c>
      <c r="B6" s="3" t="s">
        <v>9</v>
      </c>
      <c r="C6" s="3" t="s">
        <v>30</v>
      </c>
      <c r="D6" s="2" t="s">
        <v>31</v>
      </c>
      <c r="E6" s="3" t="s">
        <v>32</v>
      </c>
      <c r="F6" s="3" t="s">
        <v>13</v>
      </c>
      <c r="G6" s="4" t="s">
        <v>14</v>
      </c>
      <c r="H6" s="3" t="s">
        <v>33</v>
      </c>
    </row>
    <row r="7" customFormat="false" ht="29.85" hidden="false" customHeight="false" outlineLevel="0" collapsed="false">
      <c r="A7" s="2" t="s">
        <v>34</v>
      </c>
      <c r="B7" s="3" t="s">
        <v>35</v>
      </c>
      <c r="C7" s="3" t="s">
        <v>36</v>
      </c>
      <c r="D7" s="2" t="s">
        <v>37</v>
      </c>
      <c r="E7" s="3" t="s">
        <v>19</v>
      </c>
      <c r="F7" s="3" t="s">
        <v>20</v>
      </c>
      <c r="G7" s="4" t="s">
        <v>14</v>
      </c>
      <c r="H7" s="2"/>
    </row>
    <row r="8" customFormat="false" ht="15" hidden="false" customHeight="false" outlineLevel="0" collapsed="false">
      <c r="A8" s="2" t="s">
        <v>38</v>
      </c>
      <c r="B8" s="3" t="s">
        <v>35</v>
      </c>
      <c r="C8" s="3" t="s">
        <v>39</v>
      </c>
      <c r="D8" s="2" t="s">
        <v>40</v>
      </c>
      <c r="E8" s="3" t="s">
        <v>41</v>
      </c>
      <c r="F8" s="3" t="s">
        <v>20</v>
      </c>
      <c r="G8" s="4" t="s">
        <v>14</v>
      </c>
      <c r="H8" s="3" t="s">
        <v>42</v>
      </c>
    </row>
    <row r="9" customFormat="false" ht="15" hidden="false" customHeight="false" outlineLevel="0" collapsed="false">
      <c r="A9" s="2" t="s">
        <v>43</v>
      </c>
      <c r="B9" s="3" t="s">
        <v>35</v>
      </c>
      <c r="C9" s="3" t="s">
        <v>44</v>
      </c>
      <c r="D9" s="2" t="s">
        <v>45</v>
      </c>
      <c r="E9" s="3" t="s">
        <v>46</v>
      </c>
      <c r="F9" s="3" t="s">
        <v>20</v>
      </c>
      <c r="G9" s="4" t="s">
        <v>14</v>
      </c>
      <c r="H9" s="2"/>
    </row>
    <row r="10" customFormat="false" ht="15" hidden="false" customHeight="false" outlineLevel="0" collapsed="false">
      <c r="A10" s="2" t="s">
        <v>47</v>
      </c>
      <c r="B10" s="3" t="s">
        <v>35</v>
      </c>
      <c r="C10" s="3" t="s">
        <v>48</v>
      </c>
      <c r="D10" s="2" t="s">
        <v>49</v>
      </c>
      <c r="E10" s="3" t="s">
        <v>19</v>
      </c>
      <c r="F10" s="3" t="s">
        <v>20</v>
      </c>
      <c r="G10" s="4" t="s">
        <v>14</v>
      </c>
      <c r="H10" s="2"/>
    </row>
    <row r="11" customFormat="false" ht="15" hidden="false" customHeight="false" outlineLevel="0" collapsed="false">
      <c r="A11" s="2" t="s">
        <v>50</v>
      </c>
      <c r="B11" s="3" t="s">
        <v>35</v>
      </c>
      <c r="C11" s="3" t="s">
        <v>51</v>
      </c>
      <c r="D11" s="2" t="s">
        <v>52</v>
      </c>
      <c r="E11" s="3" t="s">
        <v>19</v>
      </c>
      <c r="F11" s="3" t="s">
        <v>20</v>
      </c>
      <c r="G11" s="4" t="s">
        <v>14</v>
      </c>
      <c r="H11" s="2"/>
    </row>
    <row r="12" customFormat="false" ht="15" hidden="false" customHeight="false" outlineLevel="0" collapsed="false">
      <c r="A12" s="2" t="s">
        <v>53</v>
      </c>
      <c r="B12" s="3" t="s">
        <v>35</v>
      </c>
      <c r="C12" s="3" t="s">
        <v>54</v>
      </c>
      <c r="D12" s="2" t="s">
        <v>55</v>
      </c>
      <c r="E12" s="3" t="s">
        <v>19</v>
      </c>
      <c r="F12" s="3" t="s">
        <v>20</v>
      </c>
      <c r="G12" s="4" t="s">
        <v>14</v>
      </c>
      <c r="H12" s="2"/>
    </row>
    <row r="13" customFormat="false" ht="15" hidden="false" customHeight="false" outlineLevel="0" collapsed="false">
      <c r="A13" s="2" t="s">
        <v>56</v>
      </c>
      <c r="B13" s="3" t="s">
        <v>57</v>
      </c>
      <c r="C13" s="3" t="s">
        <v>58</v>
      </c>
      <c r="D13" s="2" t="s">
        <v>59</v>
      </c>
      <c r="E13" s="3" t="s">
        <v>19</v>
      </c>
      <c r="F13" s="3" t="s">
        <v>20</v>
      </c>
      <c r="G13" s="3" t="s">
        <v>60</v>
      </c>
      <c r="H13" s="2"/>
    </row>
    <row r="14" customFormat="false" ht="29.85" hidden="false" customHeight="false" outlineLevel="0" collapsed="false">
      <c r="A14" s="2" t="s">
        <v>61</v>
      </c>
      <c r="B14" s="3" t="s">
        <v>57</v>
      </c>
      <c r="C14" s="3" t="s">
        <v>62</v>
      </c>
      <c r="D14" s="2" t="s">
        <v>63</v>
      </c>
      <c r="E14" s="3" t="s">
        <v>64</v>
      </c>
      <c r="F14" s="3" t="s">
        <v>20</v>
      </c>
      <c r="G14" s="4" t="s">
        <v>14</v>
      </c>
      <c r="H14" s="2" t="s">
        <v>65</v>
      </c>
    </row>
    <row r="15" customFormat="false" ht="29.85" hidden="false" customHeight="false" outlineLevel="0" collapsed="false">
      <c r="A15" s="2" t="s">
        <v>66</v>
      </c>
      <c r="B15" s="3" t="s">
        <v>57</v>
      </c>
      <c r="C15" s="2" t="s">
        <v>67</v>
      </c>
      <c r="D15" s="2" t="s">
        <v>68</v>
      </c>
      <c r="E15" s="3" t="s">
        <v>69</v>
      </c>
      <c r="F15" s="3" t="s">
        <v>13</v>
      </c>
      <c r="G15" s="4" t="s">
        <v>14</v>
      </c>
      <c r="H15" s="3" t="s">
        <v>70</v>
      </c>
    </row>
    <row r="16" customFormat="false" ht="15" hidden="false" customHeight="false" outlineLevel="0" collapsed="false">
      <c r="A16" s="2" t="s">
        <v>71</v>
      </c>
      <c r="B16" s="3" t="s">
        <v>57</v>
      </c>
      <c r="C16" s="3" t="s">
        <v>72</v>
      </c>
      <c r="D16" s="2" t="s">
        <v>73</v>
      </c>
      <c r="E16" s="3" t="s">
        <v>19</v>
      </c>
      <c r="F16" s="3" t="s">
        <v>20</v>
      </c>
      <c r="G16" s="3" t="s">
        <v>60</v>
      </c>
      <c r="H16" s="2"/>
    </row>
    <row r="17" customFormat="false" ht="15" hidden="false" customHeight="false" outlineLevel="0" collapsed="false">
      <c r="A17" s="2" t="s">
        <v>74</v>
      </c>
      <c r="B17" s="3" t="s">
        <v>57</v>
      </c>
      <c r="C17" s="3" t="s">
        <v>75</v>
      </c>
      <c r="D17" s="2" t="s">
        <v>76</v>
      </c>
      <c r="E17" s="3" t="s">
        <v>19</v>
      </c>
      <c r="F17" s="3" t="s">
        <v>20</v>
      </c>
      <c r="G17" s="3" t="s">
        <v>60</v>
      </c>
      <c r="H17" s="2"/>
    </row>
    <row r="18" customFormat="false" ht="15" hidden="false" customHeight="false" outlineLevel="0" collapsed="false">
      <c r="A18" s="2" t="s">
        <v>77</v>
      </c>
      <c r="B18" s="3" t="s">
        <v>57</v>
      </c>
      <c r="C18" s="3" t="s">
        <v>78</v>
      </c>
      <c r="D18" s="2" t="s">
        <v>79</v>
      </c>
      <c r="E18" s="3" t="s">
        <v>19</v>
      </c>
      <c r="F18" s="3" t="s">
        <v>20</v>
      </c>
      <c r="G18" s="3" t="s">
        <v>80</v>
      </c>
      <c r="H18" s="2"/>
    </row>
    <row r="19" customFormat="false" ht="29.85" hidden="false" customHeight="false" outlineLevel="0" collapsed="false">
      <c r="A19" s="2" t="s">
        <v>81</v>
      </c>
      <c r="B19" s="3" t="s">
        <v>82</v>
      </c>
      <c r="C19" s="3" t="s">
        <v>83</v>
      </c>
      <c r="D19" s="2" t="s">
        <v>84</v>
      </c>
      <c r="E19" s="3" t="s">
        <v>19</v>
      </c>
      <c r="F19" s="3" t="s">
        <v>20</v>
      </c>
      <c r="G19" s="4" t="s">
        <v>14</v>
      </c>
      <c r="H19" s="3" t="s">
        <v>85</v>
      </c>
    </row>
    <row r="20" customFormat="false" ht="15" hidden="false" customHeight="false" outlineLevel="0" collapsed="false">
      <c r="A20" s="2" t="s">
        <v>86</v>
      </c>
      <c r="B20" s="3" t="s">
        <v>82</v>
      </c>
      <c r="C20" s="3" t="s">
        <v>87</v>
      </c>
      <c r="D20" s="3" t="s">
        <v>88</v>
      </c>
      <c r="E20" s="3" t="s">
        <v>19</v>
      </c>
      <c r="F20" s="3" t="s">
        <v>20</v>
      </c>
      <c r="G20" s="4" t="s">
        <v>14</v>
      </c>
      <c r="H20" s="2"/>
    </row>
    <row r="21" customFormat="false" ht="29.85" hidden="false" customHeight="false" outlineLevel="0" collapsed="false">
      <c r="A21" s="2" t="s">
        <v>89</v>
      </c>
      <c r="B21" s="3" t="s">
        <v>82</v>
      </c>
      <c r="C21" s="3" t="s">
        <v>90</v>
      </c>
      <c r="D21" s="3" t="s">
        <v>91</v>
      </c>
      <c r="E21" s="3" t="s">
        <v>19</v>
      </c>
      <c r="F21" s="3" t="s">
        <v>20</v>
      </c>
      <c r="G21" s="4" t="s">
        <v>14</v>
      </c>
      <c r="H21" s="2"/>
    </row>
    <row r="22" customFormat="false" ht="15" hidden="false" customHeight="false" outlineLevel="0" collapsed="false">
      <c r="A22" s="2" t="s">
        <v>92</v>
      </c>
      <c r="B22" s="3" t="s">
        <v>82</v>
      </c>
      <c r="C22" s="3" t="s">
        <v>93</v>
      </c>
      <c r="D22" s="3" t="s">
        <v>94</v>
      </c>
      <c r="E22" s="3" t="s">
        <v>46</v>
      </c>
      <c r="F22" s="3" t="s">
        <v>20</v>
      </c>
      <c r="G22" s="4" t="s">
        <v>14</v>
      </c>
      <c r="H22" s="2" t="s">
        <v>95</v>
      </c>
    </row>
    <row r="23" customFormat="false" ht="15" hidden="false" customHeight="false" outlineLevel="0" collapsed="false">
      <c r="A23" s="2" t="s">
        <v>96</v>
      </c>
      <c r="B23" s="3" t="s">
        <v>82</v>
      </c>
      <c r="C23" s="3" t="s">
        <v>97</v>
      </c>
      <c r="D23" s="3" t="s">
        <v>98</v>
      </c>
      <c r="E23" s="3" t="s">
        <v>46</v>
      </c>
      <c r="F23" s="3" t="s">
        <v>20</v>
      </c>
      <c r="G23" s="4" t="s">
        <v>14</v>
      </c>
      <c r="H23" s="2"/>
    </row>
    <row r="24" customFormat="false" ht="15" hidden="false" customHeight="false" outlineLevel="0" collapsed="false">
      <c r="A24" s="2" t="s">
        <v>99</v>
      </c>
      <c r="B24" s="3" t="s">
        <v>82</v>
      </c>
      <c r="C24" s="3" t="s">
        <v>100</v>
      </c>
      <c r="D24" s="3" t="s">
        <v>101</v>
      </c>
      <c r="E24" s="3" t="s">
        <v>19</v>
      </c>
      <c r="F24" s="3" t="s">
        <v>20</v>
      </c>
      <c r="G24" s="3" t="s">
        <v>80</v>
      </c>
      <c r="H24" s="2"/>
    </row>
    <row r="25" customFormat="false" ht="15" hidden="false" customHeight="false" outlineLevel="0" collapsed="false">
      <c r="A25" s="2" t="s">
        <v>102</v>
      </c>
      <c r="B25" s="3" t="s">
        <v>82</v>
      </c>
      <c r="C25" s="3" t="s">
        <v>103</v>
      </c>
      <c r="D25" s="3" t="s">
        <v>104</v>
      </c>
      <c r="E25" s="3" t="s">
        <v>64</v>
      </c>
      <c r="F25" s="3" t="s">
        <v>20</v>
      </c>
      <c r="G25" s="4" t="s">
        <v>14</v>
      </c>
      <c r="H25" s="2"/>
    </row>
    <row r="26" customFormat="false" ht="15" hidden="false" customHeight="false" outlineLevel="0" collapsed="false">
      <c r="A26" s="2" t="s">
        <v>105</v>
      </c>
      <c r="B26" s="3" t="s">
        <v>82</v>
      </c>
      <c r="C26" s="3" t="s">
        <v>106</v>
      </c>
      <c r="D26" s="2" t="s">
        <v>107</v>
      </c>
      <c r="E26" s="3" t="s">
        <v>19</v>
      </c>
      <c r="F26" s="3" t="s">
        <v>20</v>
      </c>
      <c r="G26" s="3" t="s">
        <v>60</v>
      </c>
      <c r="H26" s="2"/>
    </row>
    <row r="27" customFormat="false" ht="15" hidden="false" customHeight="false" outlineLevel="0" collapsed="false">
      <c r="A27" s="2" t="s">
        <v>108</v>
      </c>
      <c r="B27" s="3" t="s">
        <v>82</v>
      </c>
      <c r="C27" s="3" t="s">
        <v>109</v>
      </c>
      <c r="D27" s="3" t="s">
        <v>110</v>
      </c>
      <c r="E27" s="3" t="s">
        <v>46</v>
      </c>
      <c r="F27" s="3" t="s">
        <v>20</v>
      </c>
      <c r="G27" s="4" t="s">
        <v>14</v>
      </c>
      <c r="H27" s="3" t="s">
        <v>111</v>
      </c>
    </row>
    <row r="28" customFormat="false" ht="29.85" hidden="false" customHeight="false" outlineLevel="0" collapsed="false">
      <c r="A28" s="2" t="s">
        <v>112</v>
      </c>
      <c r="B28" s="3" t="s">
        <v>82</v>
      </c>
      <c r="C28" s="3" t="s">
        <v>113</v>
      </c>
      <c r="D28" s="3" t="s">
        <v>114</v>
      </c>
      <c r="E28" s="3" t="s">
        <v>19</v>
      </c>
      <c r="F28" s="3" t="s">
        <v>20</v>
      </c>
      <c r="G28" s="4" t="s">
        <v>14</v>
      </c>
      <c r="H28" s="3" t="s">
        <v>115</v>
      </c>
    </row>
    <row r="29" customFormat="false" ht="26.85" hidden="false" customHeight="false" outlineLevel="0" collapsed="false">
      <c r="A29" s="2" t="s">
        <v>116</v>
      </c>
      <c r="B29" s="3" t="s">
        <v>82</v>
      </c>
      <c r="C29" s="3" t="s">
        <v>117</v>
      </c>
      <c r="D29" s="3" t="s">
        <v>118</v>
      </c>
      <c r="E29" s="3" t="s">
        <v>19</v>
      </c>
      <c r="F29" s="3" t="s">
        <v>20</v>
      </c>
      <c r="G29" s="4" t="s">
        <v>14</v>
      </c>
      <c r="H29" s="2"/>
    </row>
    <row r="30" customFormat="false" ht="15" hidden="false" customHeight="false" outlineLevel="0" collapsed="false">
      <c r="A30" s="2" t="s">
        <v>119</v>
      </c>
      <c r="B30" s="3" t="s">
        <v>82</v>
      </c>
      <c r="C30" s="3" t="s">
        <v>120</v>
      </c>
      <c r="D30" s="3" t="s">
        <v>121</v>
      </c>
      <c r="E30" s="3" t="s">
        <v>19</v>
      </c>
      <c r="F30" s="3" t="s">
        <v>20</v>
      </c>
      <c r="G30" s="4" t="s">
        <v>14</v>
      </c>
      <c r="H30" s="2"/>
    </row>
    <row r="31" customFormat="false" ht="29.85" hidden="false" customHeight="false" outlineLevel="0" collapsed="false">
      <c r="A31" s="2" t="s">
        <v>122</v>
      </c>
      <c r="B31" s="3" t="s">
        <v>82</v>
      </c>
      <c r="C31" s="3" t="s">
        <v>123</v>
      </c>
      <c r="D31" s="3" t="s">
        <v>124</v>
      </c>
      <c r="E31" s="3" t="s">
        <v>46</v>
      </c>
      <c r="F31" s="3" t="s">
        <v>20</v>
      </c>
      <c r="G31" s="4" t="s">
        <v>14</v>
      </c>
      <c r="H31" s="3" t="s">
        <v>125</v>
      </c>
    </row>
    <row r="32" customFormat="false" ht="15" hidden="false" customHeight="false" outlineLevel="0" collapsed="false">
      <c r="A32" s="2" t="s">
        <v>126</v>
      </c>
      <c r="B32" s="3" t="s">
        <v>82</v>
      </c>
      <c r="C32" s="3" t="s">
        <v>127</v>
      </c>
      <c r="D32" s="3" t="s">
        <v>128</v>
      </c>
      <c r="E32" s="3" t="s">
        <v>19</v>
      </c>
      <c r="F32" s="3" t="s">
        <v>20</v>
      </c>
      <c r="G32" s="3" t="s">
        <v>60</v>
      </c>
      <c r="H32" s="2"/>
    </row>
    <row r="33" customFormat="false" ht="15" hidden="false" customHeight="false" outlineLevel="0" collapsed="false">
      <c r="A33" s="2" t="s">
        <v>129</v>
      </c>
      <c r="B33" s="3" t="s">
        <v>82</v>
      </c>
      <c r="C33" s="3" t="s">
        <v>130</v>
      </c>
      <c r="D33" s="3" t="s">
        <v>131</v>
      </c>
      <c r="E33" s="3" t="s">
        <v>132</v>
      </c>
      <c r="F33" s="3" t="s">
        <v>13</v>
      </c>
      <c r="G33" s="4" t="s">
        <v>14</v>
      </c>
      <c r="H33" s="2"/>
    </row>
    <row r="34" customFormat="false" ht="15" hidden="false" customHeight="false" outlineLevel="0" collapsed="false">
      <c r="A34" s="2" t="s">
        <v>133</v>
      </c>
      <c r="B34" s="3" t="s">
        <v>82</v>
      </c>
      <c r="C34" s="3" t="s">
        <v>134</v>
      </c>
      <c r="D34" s="3" t="s">
        <v>135</v>
      </c>
      <c r="E34" s="3" t="s">
        <v>19</v>
      </c>
      <c r="F34" s="3" t="s">
        <v>20</v>
      </c>
      <c r="G34" s="3" t="s">
        <v>60</v>
      </c>
      <c r="H34" s="2"/>
    </row>
    <row r="35" customFormat="false" ht="15" hidden="false" customHeight="false" outlineLevel="0" collapsed="false">
      <c r="A35" s="2" t="s">
        <v>136</v>
      </c>
      <c r="B35" s="3" t="s">
        <v>82</v>
      </c>
      <c r="C35" s="3" t="s">
        <v>137</v>
      </c>
      <c r="D35" s="3" t="s">
        <v>138</v>
      </c>
      <c r="E35" s="3" t="s">
        <v>19</v>
      </c>
      <c r="F35" s="3" t="s">
        <v>20</v>
      </c>
      <c r="G35" s="4" t="s">
        <v>14</v>
      </c>
      <c r="H35" s="2"/>
    </row>
    <row r="36" customFormat="false" ht="15" hidden="false" customHeight="false" outlineLevel="0" collapsed="false">
      <c r="A36" s="2" t="s">
        <v>139</v>
      </c>
      <c r="B36" s="3" t="s">
        <v>82</v>
      </c>
      <c r="C36" s="3" t="s">
        <v>140</v>
      </c>
      <c r="D36" s="3" t="s">
        <v>141</v>
      </c>
      <c r="E36" s="3" t="s">
        <v>19</v>
      </c>
      <c r="F36" s="3" t="s">
        <v>20</v>
      </c>
      <c r="G36" s="4" t="s">
        <v>14</v>
      </c>
      <c r="H36" s="2"/>
    </row>
    <row r="37" customFormat="false" ht="29.85" hidden="false" customHeight="false" outlineLevel="0" collapsed="false">
      <c r="A37" s="2" t="s">
        <v>142</v>
      </c>
      <c r="B37" s="3" t="s">
        <v>82</v>
      </c>
      <c r="C37" s="3" t="s">
        <v>143</v>
      </c>
      <c r="D37" s="3" t="s">
        <v>144</v>
      </c>
      <c r="E37" s="3" t="s">
        <v>46</v>
      </c>
      <c r="F37" s="3" t="s">
        <v>20</v>
      </c>
      <c r="G37" s="4" t="s">
        <v>14</v>
      </c>
      <c r="H37" s="2"/>
    </row>
    <row r="38" customFormat="false" ht="15" hidden="false" customHeight="false" outlineLevel="0" collapsed="false">
      <c r="A38" s="2" t="s">
        <v>145</v>
      </c>
      <c r="B38" s="3" t="s">
        <v>82</v>
      </c>
      <c r="C38" s="3" t="s">
        <v>146</v>
      </c>
      <c r="D38" s="3" t="s">
        <v>147</v>
      </c>
      <c r="E38" s="3" t="s">
        <v>19</v>
      </c>
      <c r="F38" s="3" t="s">
        <v>20</v>
      </c>
      <c r="G38" s="4" t="s">
        <v>14</v>
      </c>
      <c r="H38" s="3" t="s">
        <v>148</v>
      </c>
    </row>
    <row r="39" customFormat="false" ht="15" hidden="false" customHeight="false" outlineLevel="0" collapsed="false">
      <c r="A39" s="2" t="s">
        <v>149</v>
      </c>
      <c r="B39" s="3" t="s">
        <v>82</v>
      </c>
      <c r="C39" s="3" t="s">
        <v>150</v>
      </c>
      <c r="D39" s="3" t="s">
        <v>151</v>
      </c>
      <c r="E39" s="3" t="s">
        <v>19</v>
      </c>
      <c r="F39" s="3" t="s">
        <v>20</v>
      </c>
      <c r="G39" s="3" t="s">
        <v>60</v>
      </c>
      <c r="H39" s="2"/>
    </row>
    <row r="40" customFormat="false" ht="15" hidden="false" customHeight="false" outlineLevel="0" collapsed="false">
      <c r="A40" s="2" t="s">
        <v>152</v>
      </c>
      <c r="B40" s="3" t="s">
        <v>82</v>
      </c>
      <c r="C40" s="3" t="s">
        <v>153</v>
      </c>
      <c r="D40" s="3" t="s">
        <v>154</v>
      </c>
      <c r="E40" s="3" t="s">
        <v>19</v>
      </c>
      <c r="F40" s="3" t="s">
        <v>20</v>
      </c>
      <c r="G40" s="4" t="s">
        <v>14</v>
      </c>
      <c r="H40" s="2"/>
    </row>
    <row r="41" customFormat="false" ht="29.85" hidden="false" customHeight="false" outlineLevel="0" collapsed="false">
      <c r="A41" s="2" t="s">
        <v>155</v>
      </c>
      <c r="B41" s="3" t="s">
        <v>82</v>
      </c>
      <c r="C41" s="3" t="s">
        <v>156</v>
      </c>
      <c r="D41" s="2" t="s">
        <v>157</v>
      </c>
      <c r="E41" s="3" t="s">
        <v>41</v>
      </c>
      <c r="F41" s="3" t="s">
        <v>13</v>
      </c>
      <c r="G41" s="4" t="s">
        <v>14</v>
      </c>
      <c r="H41" s="3" t="s">
        <v>158</v>
      </c>
    </row>
    <row r="42" customFormat="false" ht="15" hidden="false" customHeight="false" outlineLevel="0" collapsed="false">
      <c r="A42" s="2" t="s">
        <v>159</v>
      </c>
      <c r="B42" s="3" t="s">
        <v>82</v>
      </c>
      <c r="C42" s="3" t="s">
        <v>160</v>
      </c>
      <c r="D42" s="3" t="s">
        <v>161</v>
      </c>
      <c r="E42" s="3" t="s">
        <v>46</v>
      </c>
      <c r="F42" s="3" t="s">
        <v>20</v>
      </c>
      <c r="G42" s="4" t="s">
        <v>14</v>
      </c>
      <c r="H42" s="2"/>
    </row>
    <row r="43" customFormat="false" ht="29.85" hidden="false" customHeight="false" outlineLevel="0" collapsed="false">
      <c r="A43" s="2" t="s">
        <v>162</v>
      </c>
      <c r="B43" s="3" t="s">
        <v>82</v>
      </c>
      <c r="C43" s="3" t="s">
        <v>163</v>
      </c>
      <c r="D43" s="3" t="s">
        <v>164</v>
      </c>
      <c r="E43" s="3" t="s">
        <v>46</v>
      </c>
      <c r="F43" s="3" t="s">
        <v>20</v>
      </c>
      <c r="G43" s="4" t="s">
        <v>14</v>
      </c>
      <c r="H43" s="3" t="s">
        <v>165</v>
      </c>
    </row>
    <row r="44" customFormat="false" ht="15" hidden="false" customHeight="false" outlineLevel="0" collapsed="false">
      <c r="A44" s="2" t="s">
        <v>166</v>
      </c>
      <c r="B44" s="3" t="s">
        <v>82</v>
      </c>
      <c r="C44" s="3" t="s">
        <v>167</v>
      </c>
      <c r="D44" s="3" t="s">
        <v>168</v>
      </c>
      <c r="E44" s="3" t="s">
        <v>19</v>
      </c>
      <c r="F44" s="3" t="s">
        <v>20</v>
      </c>
      <c r="G44" s="3" t="s">
        <v>60</v>
      </c>
      <c r="H44" s="2"/>
    </row>
    <row r="45" customFormat="false" ht="15" hidden="false" customHeight="false" outlineLevel="0" collapsed="false">
      <c r="A45" s="2" t="s">
        <v>169</v>
      </c>
      <c r="B45" s="3" t="s">
        <v>82</v>
      </c>
      <c r="C45" s="3" t="s">
        <v>170</v>
      </c>
      <c r="D45" s="3" t="s">
        <v>171</v>
      </c>
      <c r="E45" s="3" t="s">
        <v>19</v>
      </c>
      <c r="F45" s="3" t="s">
        <v>20</v>
      </c>
      <c r="G45" s="3" t="s">
        <v>80</v>
      </c>
      <c r="H45" s="2"/>
    </row>
    <row r="46" customFormat="false" ht="29.85" hidden="false" customHeight="false" outlineLevel="0" collapsed="false">
      <c r="A46" s="2" t="s">
        <v>172</v>
      </c>
      <c r="B46" s="3" t="s">
        <v>82</v>
      </c>
      <c r="C46" s="3" t="s">
        <v>173</v>
      </c>
      <c r="D46" s="3" t="s">
        <v>174</v>
      </c>
      <c r="E46" s="3" t="s">
        <v>25</v>
      </c>
      <c r="F46" s="3" t="s">
        <v>13</v>
      </c>
      <c r="G46" s="4" t="s">
        <v>14</v>
      </c>
      <c r="H46" s="3" t="s">
        <v>175</v>
      </c>
    </row>
    <row r="47" customFormat="false" ht="29.85" hidden="false" customHeight="false" outlineLevel="0" collapsed="false">
      <c r="A47" s="2" t="s">
        <v>176</v>
      </c>
      <c r="B47" s="3" t="s">
        <v>82</v>
      </c>
      <c r="C47" s="3" t="s">
        <v>177</v>
      </c>
      <c r="D47" s="3" t="s">
        <v>178</v>
      </c>
      <c r="E47" s="3" t="s">
        <v>19</v>
      </c>
      <c r="F47" s="3" t="s">
        <v>20</v>
      </c>
      <c r="G47" s="4" t="s">
        <v>14</v>
      </c>
      <c r="H47" s="2"/>
    </row>
    <row r="48" customFormat="false" ht="29.85" hidden="false" customHeight="false" outlineLevel="0" collapsed="false">
      <c r="A48" s="2" t="s">
        <v>179</v>
      </c>
      <c r="B48" s="3" t="s">
        <v>82</v>
      </c>
      <c r="C48" s="3" t="s">
        <v>180</v>
      </c>
      <c r="D48" s="3" t="s">
        <v>181</v>
      </c>
      <c r="E48" s="3" t="s">
        <v>182</v>
      </c>
      <c r="F48" s="3" t="s">
        <v>20</v>
      </c>
      <c r="G48" s="4" t="s">
        <v>14</v>
      </c>
      <c r="H48" s="3" t="s">
        <v>183</v>
      </c>
    </row>
    <row r="49" customFormat="false" ht="44" hidden="false" customHeight="false" outlineLevel="0" collapsed="false">
      <c r="A49" s="2" t="s">
        <v>184</v>
      </c>
      <c r="B49" s="3" t="s">
        <v>185</v>
      </c>
      <c r="C49" s="3" t="s">
        <v>186</v>
      </c>
      <c r="D49" s="2" t="s">
        <v>187</v>
      </c>
      <c r="E49" s="2" t="s">
        <v>188</v>
      </c>
      <c r="F49" s="3" t="s">
        <v>189</v>
      </c>
      <c r="G49" s="5" t="s">
        <v>190</v>
      </c>
      <c r="H49" s="3" t="s">
        <v>191</v>
      </c>
    </row>
  </sheetData>
  <autoFilter ref="A1:H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6" t="s">
        <v>192</v>
      </c>
      <c r="B1" s="6" t="s">
        <v>193</v>
      </c>
    </row>
    <row r="2" customFormat="false" ht="15" hidden="false" customHeight="false" outlineLevel="0" collapsed="false">
      <c r="A2" s="7" t="s">
        <v>194</v>
      </c>
      <c r="B2" s="7" t="n">
        <v>48</v>
      </c>
    </row>
    <row r="3" customFormat="false" ht="15" hidden="false" customHeight="false" outlineLevel="0" collapsed="false">
      <c r="A3" s="7" t="s">
        <v>9</v>
      </c>
      <c r="B3" s="7" t="n">
        <v>5</v>
      </c>
    </row>
    <row r="4" customFormat="false" ht="15" hidden="false" customHeight="false" outlineLevel="0" collapsed="false">
      <c r="A4" s="7" t="s">
        <v>35</v>
      </c>
      <c r="B4" s="7" t="n">
        <v>6</v>
      </c>
    </row>
    <row r="5" customFormat="false" ht="15" hidden="false" customHeight="false" outlineLevel="0" collapsed="false">
      <c r="A5" s="7" t="s">
        <v>57</v>
      </c>
      <c r="B5" s="7" t="n">
        <v>6</v>
      </c>
    </row>
    <row r="6" customFormat="false" ht="15" hidden="false" customHeight="false" outlineLevel="0" collapsed="false">
      <c r="A6" s="7" t="s">
        <v>82</v>
      </c>
      <c r="B6" s="7" t="n">
        <v>30</v>
      </c>
    </row>
    <row r="7" customFormat="false" ht="15" hidden="false" customHeight="false" outlineLevel="0" collapsed="false">
      <c r="A7" s="7" t="s">
        <v>185</v>
      </c>
      <c r="B7" s="7" t="n">
        <v>1</v>
      </c>
    </row>
    <row r="8" customFormat="false" ht="15" hidden="false" customHeight="false" outlineLevel="0" collapsed="false">
      <c r="A8" s="7"/>
      <c r="B8" s="7"/>
    </row>
    <row r="9" customFormat="false" ht="15" hidden="false" customHeight="false" outlineLevel="0" collapsed="false">
      <c r="A9" s="7" t="s">
        <v>195</v>
      </c>
      <c r="B9" s="7" t="n">
        <f aca="false">COUNTIF('사실관계 목록'!G2:G49,"*권장*")</f>
        <v>36</v>
      </c>
    </row>
    <row r="10" customFormat="false" ht="29.85" hidden="false" customHeight="false" outlineLevel="0" collapsed="false">
      <c r="A10" s="7" t="s">
        <v>196</v>
      </c>
      <c r="B10" s="7" t="n">
        <f aca="false">COUNTIF('사실관계 목록'!G2:G49,"불필요*")</f>
        <v>11</v>
      </c>
    </row>
    <row r="11" customFormat="false" ht="15" hidden="false" customHeight="false" outlineLevel="0" collapsed="false">
      <c r="A11" s="7"/>
      <c r="B11" s="7"/>
    </row>
    <row r="12" customFormat="false" ht="15" hidden="false" customHeight="false" outlineLevel="0" collapsed="false">
      <c r="A12" s="7" t="s">
        <v>197</v>
      </c>
      <c r="B12" s="7" t="s">
        <v>198</v>
      </c>
    </row>
    <row r="13" customFormat="false" ht="29.85" hidden="false" customHeight="false" outlineLevel="0" collapsed="false">
      <c r="A13" s="7" t="s">
        <v>199</v>
      </c>
      <c r="B13" s="7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2026-08-17T14:34:09Z</dcterms:created>
  <dc:creator>openpyxl</dc:creator>
  <dc:description/>
  <dc:language>en-US</dc:language>
  <cp:lastModifiedBy/>
  <dcterms:modified xsi:type="dcterms:W3CDTF">2026-08-17T14:34:09Z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